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tart Here" sheetId="1" state="visible" r:id="rId3"/>
    <sheet name="Raw Data" sheetId="2" state="visible" r:id="rId4"/>
    <sheet name="Analysis" sheetId="3" state="visible" r:id="rId5"/>
    <sheet name="Visualizations" sheetId="4" state="visible" r:id="rId6"/>
    <sheet name="Dashboard" sheetId="5" state="visible" r:id="rId7"/>
    <sheet name="Dash Data" sheetId="6" state="visible" r:id="rId8"/>
    <sheet name="Insights Report" sheetId="7" state="visible" r:id="rId9"/>
    <sheet name="Manual Steps" sheetId="8" state="visible" r:id="rId10"/>
  </sheets>
  <calcPr iterateCount="100" refMode="A1" iterate="tru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<sst xmlns="http://schemas.openxmlformats.org/spreadsheetml/2006/main" count="2663" uniqueCount="626">
  <si>
    <t xml:space="preserve">PR. Final Project - "Data Intelligence Dashboard"</t>
  </si>
  <si>
    <t xml:space="preserve">Built on your Final Project Dataset: 250 transactions, 50 customers, 10 products, 5 regions</t>
  </si>
  <si>
    <t xml:space="preserve">Required topic</t>
  </si>
  <si>
    <t xml:space="preserve">Where</t>
  </si>
  <si>
    <t xml:space="preserve">Status</t>
  </si>
  <si>
    <t xml:space="preserve">Date &amp; Time: TODAY, NOW, DATEDIF, EOMONTH</t>
  </si>
  <si>
    <t xml:space="preserve">Analysis section 1, Raw Data O:P,R</t>
  </si>
  <si>
    <t xml:space="preserve">Done</t>
  </si>
  <si>
    <t xml:space="preserve">FILTER function</t>
  </si>
  <si>
    <t xml:space="preserve">Analysis section 2</t>
  </si>
  <si>
    <t xml:space="preserve">Done (helper version + 365 formula)</t>
  </si>
  <si>
    <t xml:space="preserve">Conditional formatting with icons/arrows</t>
  </si>
  <si>
    <t xml:space="preserve">Analysis (MoM %), Dashboard</t>
  </si>
  <si>
    <t xml:space="preserve">Timestamp with NOW + iterative calc</t>
  </si>
  <si>
    <t xml:space="preserve">Analysis section 3</t>
  </si>
  <si>
    <t xml:space="preserve">Done (iterative ON)</t>
  </si>
  <si>
    <t xml:space="preserve">What-if: Scenario Manager, Goal Seek</t>
  </si>
  <si>
    <t xml:space="preserve">Analysis section 4</t>
  </si>
  <si>
    <t xml:space="preserve">Model ready - run the tools (Manual Steps)</t>
  </si>
  <si>
    <t xml:space="preserve">Linear regression (Toolpak)</t>
  </si>
  <si>
    <t xml:space="preserve">Analysis section 5</t>
  </si>
  <si>
    <t xml:space="preserve">Formulas done - Toolpak run by hand</t>
  </si>
  <si>
    <t xml:space="preserve">Data analysis &amp; storytelling</t>
  </si>
  <si>
    <t xml:space="preserve">Insights Report</t>
  </si>
  <si>
    <t xml:space="preserve">Done (live text)</t>
  </si>
  <si>
    <t xml:space="preserve">GroupBy / High-value customers</t>
  </si>
  <si>
    <t xml:space="preserve">Analysis section 6</t>
  </si>
  <si>
    <t xml:space="preserve">Dashboard: pivots, pivot charts, slicers, timeline</t>
  </si>
  <si>
    <t xml:space="preserve">Dashboard + Manual Steps</t>
  </si>
  <si>
    <t xml:space="preserve">Interactive dropdown dashboard done; pivots/slicers by hand</t>
  </si>
  <si>
    <t xml:space="preserve">KPI indicators with conditional formatting</t>
  </si>
  <si>
    <t xml:space="preserve">Dashboard rows 7-13</t>
  </si>
  <si>
    <t xml:space="preserve">Most purchased product / repeating names</t>
  </si>
  <si>
    <t xml:space="preserve">Analysis section 7</t>
  </si>
  <si>
    <t xml:space="preserve">Compare two lists, extract matches</t>
  </si>
  <si>
    <t xml:space="preserve">Analysis section 8</t>
  </si>
  <si>
    <t xml:space="preserve">Abbreviations using TEXT functions</t>
  </si>
  <si>
    <t xml:space="preserve">Analysis section 6 col I, section 7 col H</t>
  </si>
  <si>
    <t xml:space="preserve">Final report</t>
  </si>
  <si>
    <t xml:space="preserve">Colour legend</t>
  </si>
  <si>
    <t xml:space="preserve">Yellow cell + blue text = input you can change</t>
  </si>
  <si>
    <t xml:space="preserve">Black text = formula (do not overwrite)</t>
  </si>
  <si>
    <t xml:space="preserve">Sheets: Raw Data &gt; Analysis &gt; Visualizations &gt; Dashboard &gt; Insights Report &gt; Manual Steps</t>
  </si>
  <si>
    <t xml:space="preserve">Note: data runs 11-Apr-2024 to 11-Apr-2025, so Apr-2024 and Apr-2025 are partial months and are left out of the trend and KPIs.</t>
  </si>
  <si>
    <t xml:space="preserve">Transaction_ID</t>
  </si>
  <si>
    <t xml:space="preserve">Date</t>
  </si>
  <si>
    <t xml:space="preserve">Customer_ID</t>
  </si>
  <si>
    <t xml:space="preserve">Customer_Name</t>
  </si>
  <si>
    <t xml:space="preserve">Product_ID</t>
  </si>
  <si>
    <t xml:space="preserve">Product_Name</t>
  </si>
  <si>
    <t xml:space="preserve">Category</t>
  </si>
  <si>
    <t xml:space="preserve">Quantity</t>
  </si>
  <si>
    <t xml:space="preserve">Unit_Price</t>
  </si>
  <si>
    <t xml:space="preserve">Payment_Method</t>
  </si>
  <si>
    <t xml:space="preserve">Region</t>
  </si>
  <si>
    <t xml:space="preserve">Customer_Segment</t>
  </si>
  <si>
    <t xml:space="preserve">Customer_Since</t>
  </si>
  <si>
    <t xml:space="preserve">Total_Amount</t>
  </si>
  <si>
    <t xml:space="preserve">Month End</t>
  </si>
  <si>
    <t xml:space="preserve">Order Age (Months)</t>
  </si>
  <si>
    <t xml:space="preserve">Filter Helper</t>
  </si>
  <si>
    <t xml:space="preserve">Tenure at Order (Months)</t>
  </si>
  <si>
    <t xml:space="preserve">TRX0155</t>
  </si>
  <si>
    <t xml:space="preserve">CUST023</t>
  </si>
  <si>
    <t xml:space="preserve">Paul Baker</t>
  </si>
  <si>
    <t xml:space="preserve">P009</t>
  </si>
  <si>
    <t xml:space="preserve">Monitor</t>
  </si>
  <si>
    <t xml:space="preserve">Electronics</t>
  </si>
  <si>
    <t xml:space="preserve">Cash</t>
  </si>
  <si>
    <t xml:space="preserve">Central</t>
  </si>
  <si>
    <t xml:space="preserve">Basic</t>
  </si>
  <si>
    <t xml:space="preserve">TRX0023</t>
  </si>
  <si>
    <t xml:space="preserve">CUST013</t>
  </si>
  <si>
    <t xml:space="preserve">Joseph Jackson</t>
  </si>
  <si>
    <t xml:space="preserve">Credit Card</t>
  </si>
  <si>
    <t xml:space="preserve">Premium</t>
  </si>
  <si>
    <t xml:space="preserve">TRX0139</t>
  </si>
  <si>
    <t xml:space="preserve">CUST021</t>
  </si>
  <si>
    <t xml:space="preserve">Kevin Scott</t>
  </si>
  <si>
    <t xml:space="preserve">P005</t>
  </si>
  <si>
    <t xml:space="preserve">Blender</t>
  </si>
  <si>
    <t xml:space="preserve">Appliances</t>
  </si>
  <si>
    <t xml:space="preserve">PayPal</t>
  </si>
  <si>
    <t xml:space="preserve">South</t>
  </si>
  <si>
    <t xml:space="preserve">Standard</t>
  </si>
  <si>
    <t xml:space="preserve">TRX0043</t>
  </si>
  <si>
    <t xml:space="preserve">CUST046</t>
  </si>
  <si>
    <t xml:space="preserve">Kathleen Bennett</t>
  </si>
  <si>
    <t xml:space="preserve">North</t>
  </si>
  <si>
    <t xml:space="preserve">TRX0212</t>
  </si>
  <si>
    <t xml:space="preserve">CUST003</t>
  </si>
  <si>
    <t xml:space="preserve">Michael Brown</t>
  </si>
  <si>
    <t xml:space="preserve">P008</t>
  </si>
  <si>
    <t xml:space="preserve">Bookshelf</t>
  </si>
  <si>
    <t xml:space="preserve">Furniture</t>
  </si>
  <si>
    <t xml:space="preserve">TRX0092</t>
  </si>
  <si>
    <t xml:space="preserve">CUST024</t>
  </si>
  <si>
    <t xml:space="preserve">Dorothy Nelson</t>
  </si>
  <si>
    <t xml:space="preserve">West</t>
  </si>
  <si>
    <t xml:space="preserve">TRX0193</t>
  </si>
  <si>
    <t xml:space="preserve">P003</t>
  </si>
  <si>
    <t xml:space="preserve">Headphones</t>
  </si>
  <si>
    <t xml:space="preserve">TRX0240</t>
  </si>
  <si>
    <t xml:space="preserve">CUST017</t>
  </si>
  <si>
    <t xml:space="preserve">Charles Allen</t>
  </si>
  <si>
    <t xml:space="preserve">Debit Card</t>
  </si>
  <si>
    <t xml:space="preserve">TRX0135</t>
  </si>
  <si>
    <t xml:space="preserve">CUST009</t>
  </si>
  <si>
    <t xml:space="preserve">Robert Thomas</t>
  </si>
  <si>
    <t xml:space="preserve">P001</t>
  </si>
  <si>
    <t xml:space="preserve">Laptop</t>
  </si>
  <si>
    <t xml:space="preserve">East</t>
  </si>
  <si>
    <t xml:space="preserve">TRX0138</t>
  </si>
  <si>
    <t xml:space="preserve">CUST022</t>
  </si>
  <si>
    <t xml:space="preserve">Susan Green</t>
  </si>
  <si>
    <t xml:space="preserve">TRX0185</t>
  </si>
  <si>
    <t xml:space="preserve">CUST026</t>
  </si>
  <si>
    <t xml:space="preserve">Karen Hill</t>
  </si>
  <si>
    <t xml:space="preserve">TRX0209</t>
  </si>
  <si>
    <t xml:space="preserve">TRX0246</t>
  </si>
  <si>
    <t xml:space="preserve">CUST041</t>
  </si>
  <si>
    <t xml:space="preserve">Peter Richardson</t>
  </si>
  <si>
    <t xml:space="preserve">TRX0067</t>
  </si>
  <si>
    <t xml:space="preserve">CUST043</t>
  </si>
  <si>
    <t xml:space="preserve">Dennis Gray</t>
  </si>
  <si>
    <t xml:space="preserve">TRX0191</t>
  </si>
  <si>
    <t xml:space="preserve">CUST038</t>
  </si>
  <si>
    <t xml:space="preserve">Michelle Rogers</t>
  </si>
  <si>
    <t xml:space="preserve">P002</t>
  </si>
  <si>
    <t xml:space="preserve">Smartphone</t>
  </si>
  <si>
    <t xml:space="preserve">TRX0230</t>
  </si>
  <si>
    <t xml:space="preserve">CUST027</t>
  </si>
  <si>
    <t xml:space="preserve">George Adams</t>
  </si>
  <si>
    <t xml:space="preserve">TRX0049</t>
  </si>
  <si>
    <t xml:space="preserve">CUST025</t>
  </si>
  <si>
    <t xml:space="preserve">Mark Carter</t>
  </si>
  <si>
    <t xml:space="preserve">TRX0122</t>
  </si>
  <si>
    <t xml:space="preserve">TRX0134</t>
  </si>
  <si>
    <t xml:space="preserve">CUST010</t>
  </si>
  <si>
    <t xml:space="preserve">Maria Garcia</t>
  </si>
  <si>
    <t xml:space="preserve">TRX0222</t>
  </si>
  <si>
    <t xml:space="preserve">CUST048</t>
  </si>
  <si>
    <t xml:space="preserve">Virginia Sanders</t>
  </si>
  <si>
    <t xml:space="preserve">TRX0231</t>
  </si>
  <si>
    <t xml:space="preserve">CUST018</t>
  </si>
  <si>
    <t xml:space="preserve">Barbara Young</t>
  </si>
  <si>
    <t xml:space="preserve">TRX0239</t>
  </si>
  <si>
    <t xml:space="preserve">CUST012</t>
  </si>
  <si>
    <t xml:space="preserve">Patricia Moore</t>
  </si>
  <si>
    <t xml:space="preserve">TRX0204</t>
  </si>
  <si>
    <t xml:space="preserve">CUST044</t>
  </si>
  <si>
    <t xml:space="preserve">Cynthia Price</t>
  </si>
  <si>
    <t xml:space="preserve">TRX0242</t>
  </si>
  <si>
    <t xml:space="preserve">P007</t>
  </si>
  <si>
    <t xml:space="preserve">Desk</t>
  </si>
  <si>
    <t xml:space="preserve">TRX0071</t>
  </si>
  <si>
    <t xml:space="preserve">CUST036</t>
  </si>
  <si>
    <t xml:space="preserve">Nancy Collins</t>
  </si>
  <si>
    <t xml:space="preserve">TRX0004</t>
  </si>
  <si>
    <t xml:space="preserve">P010</t>
  </si>
  <si>
    <t xml:space="preserve">Keyboard</t>
  </si>
  <si>
    <t xml:space="preserve">TRX0040</t>
  </si>
  <si>
    <t xml:space="preserve">TRX0235</t>
  </si>
  <si>
    <t xml:space="preserve">CUST014</t>
  </si>
  <si>
    <t xml:space="preserve">Linda Martin</t>
  </si>
  <si>
    <t xml:space="preserve">P004</t>
  </si>
  <si>
    <t xml:space="preserve">Coffee Maker</t>
  </si>
  <si>
    <t xml:space="preserve">TRX0063</t>
  </si>
  <si>
    <t xml:space="preserve">CUST030</t>
  </si>
  <si>
    <t xml:space="preserve">Helen Roberts</t>
  </si>
  <si>
    <t xml:space="preserve">TRX0029</t>
  </si>
  <si>
    <t xml:space="preserve">P006</t>
  </si>
  <si>
    <t xml:space="preserve">Office Chair</t>
  </si>
  <si>
    <t xml:space="preserve">TRX0241</t>
  </si>
  <si>
    <t xml:space="preserve">CUST029</t>
  </si>
  <si>
    <t xml:space="preserve">Edward Mitchell</t>
  </si>
  <si>
    <t xml:space="preserve">TRX0194</t>
  </si>
  <si>
    <t xml:space="preserve">CUST006</t>
  </si>
  <si>
    <t xml:space="preserve">Lisa Anderson</t>
  </si>
  <si>
    <t xml:space="preserve">TRX0130</t>
  </si>
  <si>
    <t xml:space="preserve">CUST002</t>
  </si>
  <si>
    <t xml:space="preserve">Emma Wilson</t>
  </si>
  <si>
    <t xml:space="preserve">TRX0041</t>
  </si>
  <si>
    <t xml:space="preserve">TRX0232</t>
  </si>
  <si>
    <t xml:space="preserve">TRX0021</t>
  </si>
  <si>
    <t xml:space="preserve">TRX0245</t>
  </si>
  <si>
    <t xml:space="preserve">CUST031</t>
  </si>
  <si>
    <t xml:space="preserve">Steven Turner</t>
  </si>
  <si>
    <t xml:space="preserve">TRX0015</t>
  </si>
  <si>
    <t xml:space="preserve">CUST008</t>
  </si>
  <si>
    <t xml:space="preserve">Jennifer Taylor</t>
  </si>
  <si>
    <t xml:space="preserve">TRX0202</t>
  </si>
  <si>
    <t xml:space="preserve">CUST035</t>
  </si>
  <si>
    <t xml:space="preserve">Harry Morgan</t>
  </si>
  <si>
    <t xml:space="preserve">TRX0042</t>
  </si>
  <si>
    <t xml:space="preserve">CUST019</t>
  </si>
  <si>
    <t xml:space="preserve">Daniel King</t>
  </si>
  <si>
    <t xml:space="preserve">TRX0117</t>
  </si>
  <si>
    <t xml:space="preserve">TRX0128</t>
  </si>
  <si>
    <t xml:space="preserve">CUST040</t>
  </si>
  <si>
    <t xml:space="preserve">Sharon Butler</t>
  </si>
  <si>
    <t xml:space="preserve">TRX0208</t>
  </si>
  <si>
    <t xml:space="preserve">CUST004</t>
  </si>
  <si>
    <t xml:space="preserve">Sarah Davis</t>
  </si>
  <si>
    <t xml:space="preserve">TRX0121</t>
  </si>
  <si>
    <t xml:space="preserve">CUST028</t>
  </si>
  <si>
    <t xml:space="preserve">Betty Campbell</t>
  </si>
  <si>
    <t xml:space="preserve">TRX0234</t>
  </si>
  <si>
    <t xml:space="preserve">TRX0220</t>
  </si>
  <si>
    <t xml:space="preserve">TRX0093</t>
  </si>
  <si>
    <t xml:space="preserve">CUST050</t>
  </si>
  <si>
    <t xml:space="preserve">Julie Foster</t>
  </si>
  <si>
    <t xml:space="preserve">TRX0088</t>
  </si>
  <si>
    <t xml:space="preserve">TRX0044</t>
  </si>
  <si>
    <t xml:space="preserve">TRX0115</t>
  </si>
  <si>
    <t xml:space="preserve">TRX0154</t>
  </si>
  <si>
    <t xml:space="preserve">TRX0061</t>
  </si>
  <si>
    <t xml:space="preserve">TRX0150</t>
  </si>
  <si>
    <t xml:space="preserve">TRX0025</t>
  </si>
  <si>
    <t xml:space="preserve">CUST049</t>
  </si>
  <si>
    <t xml:space="preserve">Raymond Ross</t>
  </si>
  <si>
    <t xml:space="preserve">TRX0007</t>
  </si>
  <si>
    <t xml:space="preserve">TRX0078</t>
  </si>
  <si>
    <t xml:space="preserve">TRX0104</t>
  </si>
  <si>
    <t xml:space="preserve">TRX0184</t>
  </si>
  <si>
    <t xml:space="preserve">TRX0127</t>
  </si>
  <si>
    <t xml:space="preserve">TRX0096</t>
  </si>
  <si>
    <t xml:space="preserve">TRX0192</t>
  </si>
  <si>
    <t xml:space="preserve">TRX0052</t>
  </si>
  <si>
    <t xml:space="preserve">TRX0070</t>
  </si>
  <si>
    <t xml:space="preserve">CUST007</t>
  </si>
  <si>
    <t xml:space="preserve">David Martinez</t>
  </si>
  <si>
    <t xml:space="preserve">TRX0086</t>
  </si>
  <si>
    <t xml:space="preserve">CUST020</t>
  </si>
  <si>
    <t xml:space="preserve">Margaret Wright</t>
  </si>
  <si>
    <t xml:space="preserve">TRX0113</t>
  </si>
  <si>
    <t xml:space="preserve">TRX0114</t>
  </si>
  <si>
    <t xml:space="preserve">TRX0136</t>
  </si>
  <si>
    <t xml:space="preserve">TRX0018</t>
  </si>
  <si>
    <t xml:space="preserve">TRX0141</t>
  </si>
  <si>
    <t xml:space="preserve">CUST033</t>
  </si>
  <si>
    <t xml:space="preserve">Frank Torres</t>
  </si>
  <si>
    <t xml:space="preserve">TRX0097</t>
  </si>
  <si>
    <t xml:space="preserve">TRX0169</t>
  </si>
  <si>
    <t xml:space="preserve">CUST047</t>
  </si>
  <si>
    <t xml:space="preserve">Gerald Murphy</t>
  </si>
  <si>
    <t xml:space="preserve">TRX0216</t>
  </si>
  <si>
    <t xml:space="preserve">TRX0131</t>
  </si>
  <si>
    <t xml:space="preserve">TRX0162</t>
  </si>
  <si>
    <t xml:space="preserve">TRX0244</t>
  </si>
  <si>
    <t xml:space="preserve">TRX0006</t>
  </si>
  <si>
    <t xml:space="preserve">TRX0215</t>
  </si>
  <si>
    <t xml:space="preserve">TRX0080</t>
  </si>
  <si>
    <t xml:space="preserve">TRX0228</t>
  </si>
  <si>
    <t xml:space="preserve">TRX0002</t>
  </si>
  <si>
    <t xml:space="preserve">TRX0157</t>
  </si>
  <si>
    <t xml:space="preserve">TRX0217</t>
  </si>
  <si>
    <t xml:space="preserve">TRX0249</t>
  </si>
  <si>
    <t xml:space="preserve">TRX0065</t>
  </si>
  <si>
    <t xml:space="preserve">CUST016</t>
  </si>
  <si>
    <t xml:space="preserve">Elizabeth Hall</t>
  </si>
  <si>
    <t xml:space="preserve">TRX0176</t>
  </si>
  <si>
    <t xml:space="preserve">TRX0101</t>
  </si>
  <si>
    <t xml:space="preserve">TRX0205</t>
  </si>
  <si>
    <t xml:space="preserve">TRX0020</t>
  </si>
  <si>
    <t xml:space="preserve">TRX0075</t>
  </si>
  <si>
    <t xml:space="preserve">TRX0098</t>
  </si>
  <si>
    <t xml:space="preserve">TRX0247</t>
  </si>
  <si>
    <t xml:space="preserve">TRX0027</t>
  </si>
  <si>
    <t xml:space="preserve">TRX0140</t>
  </si>
  <si>
    <t xml:space="preserve">TRX0031</t>
  </si>
  <si>
    <t xml:space="preserve">TRX0132</t>
  </si>
  <si>
    <t xml:space="preserve">TRX0236</t>
  </si>
  <si>
    <t xml:space="preserve">TRX0001</t>
  </si>
  <si>
    <t xml:space="preserve">CUST039</t>
  </si>
  <si>
    <t xml:space="preserve">Lawrence Reed</t>
  </si>
  <si>
    <t xml:space="preserve">TRX0037</t>
  </si>
  <si>
    <t xml:space="preserve">TRX0058</t>
  </si>
  <si>
    <t xml:space="preserve">TRX0170</t>
  </si>
  <si>
    <t xml:space="preserve">CUST034</t>
  </si>
  <si>
    <t xml:space="preserve">Carol Evans</t>
  </si>
  <si>
    <t xml:space="preserve">TRX0248</t>
  </si>
  <si>
    <t xml:space="preserve">CUST032</t>
  </si>
  <si>
    <t xml:space="preserve">Sandra Phillips</t>
  </si>
  <si>
    <t xml:space="preserve">TRX0074</t>
  </si>
  <si>
    <t xml:space="preserve">TRX0099</t>
  </si>
  <si>
    <t xml:space="preserve">TRX0225</t>
  </si>
  <si>
    <t xml:space="preserve">TRX0100</t>
  </si>
  <si>
    <t xml:space="preserve">TRX0112</t>
  </si>
  <si>
    <t xml:space="preserve">TRX0142</t>
  </si>
  <si>
    <t xml:space="preserve">TRX0161</t>
  </si>
  <si>
    <t xml:space="preserve">TRX0108</t>
  </si>
  <si>
    <t xml:space="preserve">TRX0211</t>
  </si>
  <si>
    <t xml:space="preserve">TRX0005</t>
  </si>
  <si>
    <t xml:space="preserve">CUST042</t>
  </si>
  <si>
    <t xml:space="preserve">Ruth Brooks</t>
  </si>
  <si>
    <t xml:space="preserve">TRX0054</t>
  </si>
  <si>
    <t xml:space="preserve">TRX0195</t>
  </si>
  <si>
    <t xml:space="preserve">TRX0077</t>
  </si>
  <si>
    <t xml:space="preserve">TRX0111</t>
  </si>
  <si>
    <t xml:space="preserve">CUST011</t>
  </si>
  <si>
    <t xml:space="preserve">William White</t>
  </si>
  <si>
    <t xml:space="preserve">TRX0123</t>
  </si>
  <si>
    <t xml:space="preserve">TRX0177</t>
  </si>
  <si>
    <t xml:space="preserve">TRX0119</t>
  </si>
  <si>
    <t xml:space="preserve">TRX0181</t>
  </si>
  <si>
    <t xml:space="preserve">TRX0129</t>
  </si>
  <si>
    <t xml:space="preserve">CUST015</t>
  </si>
  <si>
    <t xml:space="preserve">Richard Lee</t>
  </si>
  <si>
    <t xml:space="preserve">TRX0174</t>
  </si>
  <si>
    <t xml:space="preserve">TRX0146</t>
  </si>
  <si>
    <t xml:space="preserve">TRX0203</t>
  </si>
  <si>
    <t xml:space="preserve">TRX0055</t>
  </si>
  <si>
    <t xml:space="preserve">TRX0218</t>
  </si>
  <si>
    <t xml:space="preserve">TRX0085</t>
  </si>
  <si>
    <t xml:space="preserve">TRX0158</t>
  </si>
  <si>
    <t xml:space="preserve">TRX0034</t>
  </si>
  <si>
    <t xml:space="preserve">TRX0173</t>
  </si>
  <si>
    <t xml:space="preserve">TRX0189</t>
  </si>
  <si>
    <t xml:space="preserve">TRX0190</t>
  </si>
  <si>
    <t xml:space="preserve">TRX0079</t>
  </si>
  <si>
    <t xml:space="preserve">TRX0009</t>
  </si>
  <si>
    <t xml:space="preserve">TRX0095</t>
  </si>
  <si>
    <t xml:space="preserve">TRX0167</t>
  </si>
  <si>
    <t xml:space="preserve">TRX0153</t>
  </si>
  <si>
    <t xml:space="preserve">TRX0057</t>
  </si>
  <si>
    <t xml:space="preserve">TRX0017</t>
  </si>
  <si>
    <t xml:space="preserve">TRX0060</t>
  </si>
  <si>
    <t xml:space="preserve">TRX0109</t>
  </si>
  <si>
    <t xml:space="preserve">TRX0090</t>
  </si>
  <si>
    <t xml:space="preserve">TRX0035</t>
  </si>
  <si>
    <t xml:space="preserve">TRX0076</t>
  </si>
  <si>
    <t xml:space="preserve">TRX0172</t>
  </si>
  <si>
    <t xml:space="preserve">TRX0149</t>
  </si>
  <si>
    <t xml:space="preserve">TRX0210</t>
  </si>
  <si>
    <t xml:space="preserve">TRX0033</t>
  </si>
  <si>
    <t xml:space="preserve">TRX0073</t>
  </si>
  <si>
    <t xml:space="preserve">TRX0160</t>
  </si>
  <si>
    <t xml:space="preserve">TRX0145</t>
  </si>
  <si>
    <t xml:space="preserve">TRX0148</t>
  </si>
  <si>
    <t xml:space="preserve">TRX0012</t>
  </si>
  <si>
    <t xml:space="preserve">CUST045</t>
  </si>
  <si>
    <t xml:space="preserve">Douglas Watson</t>
  </si>
  <si>
    <t xml:space="preserve">TRX0206</t>
  </si>
  <si>
    <t xml:space="preserve">TRX0045</t>
  </si>
  <si>
    <t xml:space="preserve">TRX0094</t>
  </si>
  <si>
    <t xml:space="preserve">TRX0133</t>
  </si>
  <si>
    <t xml:space="preserve">TRX0201</t>
  </si>
  <si>
    <t xml:space="preserve">TRX0137</t>
  </si>
  <si>
    <t xml:space="preserve">TRX0066</t>
  </si>
  <si>
    <t xml:space="preserve">TRX0036</t>
  </si>
  <si>
    <t xml:space="preserve">TRX0082</t>
  </si>
  <si>
    <t xml:space="preserve">CUST005</t>
  </si>
  <si>
    <t xml:space="preserve">James Johnson</t>
  </si>
  <si>
    <t xml:space="preserve">TRX0180</t>
  </si>
  <si>
    <t xml:space="preserve">TRX0198</t>
  </si>
  <si>
    <t xml:space="preserve">TRX0032</t>
  </si>
  <si>
    <t xml:space="preserve">TRX0081</t>
  </si>
  <si>
    <t xml:space="preserve">TRX0224</t>
  </si>
  <si>
    <t xml:space="preserve">TRX0028</t>
  </si>
  <si>
    <t xml:space="preserve">TRX0163</t>
  </si>
  <si>
    <t xml:space="preserve">TRX0183</t>
  </si>
  <si>
    <t xml:space="preserve">TRX0046</t>
  </si>
  <si>
    <t xml:space="preserve">TRX0008</t>
  </si>
  <si>
    <t xml:space="preserve">TRX0164</t>
  </si>
  <si>
    <t xml:space="preserve">TRX0171</t>
  </si>
  <si>
    <t xml:space="preserve">TRX0143</t>
  </si>
  <si>
    <t xml:space="preserve">TRX0165</t>
  </si>
  <si>
    <t xml:space="preserve">TRX0147</t>
  </si>
  <si>
    <t xml:space="preserve">TRX0156</t>
  </si>
  <si>
    <t xml:space="preserve">TRX0207</t>
  </si>
  <si>
    <t xml:space="preserve">TRX0056</t>
  </si>
  <si>
    <t xml:space="preserve">TRX0026</t>
  </si>
  <si>
    <t xml:space="preserve">CUST037</t>
  </si>
  <si>
    <t xml:space="preserve">Arthur Edwards</t>
  </si>
  <si>
    <t xml:space="preserve">TRX0091</t>
  </si>
  <si>
    <t xml:space="preserve">TRX0237</t>
  </si>
  <si>
    <t xml:space="preserve">TRX0125</t>
  </si>
  <si>
    <t xml:space="preserve">TRX0223</t>
  </si>
  <si>
    <t xml:space="preserve">TRX0243</t>
  </si>
  <si>
    <t xml:space="preserve">TRX0084</t>
  </si>
  <si>
    <t xml:space="preserve">TRX0238</t>
  </si>
  <si>
    <t xml:space="preserve">TRX0022</t>
  </si>
  <si>
    <t xml:space="preserve">TRX0102</t>
  </si>
  <si>
    <t xml:space="preserve">TRX0051</t>
  </si>
  <si>
    <t xml:space="preserve">TRX0087</t>
  </si>
  <si>
    <t xml:space="preserve">TRX0107</t>
  </si>
  <si>
    <t xml:space="preserve">TRX0059</t>
  </si>
  <si>
    <t xml:space="preserve">TRX0072</t>
  </si>
  <si>
    <t xml:space="preserve">TRX0106</t>
  </si>
  <si>
    <t xml:space="preserve">TRX0110</t>
  </si>
  <si>
    <t xml:space="preserve">TRX0126</t>
  </si>
  <si>
    <t xml:space="preserve">TRX0159</t>
  </si>
  <si>
    <t xml:space="preserve">TRX0030</t>
  </si>
  <si>
    <t xml:space="preserve">TRX0178</t>
  </si>
  <si>
    <t xml:space="preserve">TRX0188</t>
  </si>
  <si>
    <t xml:space="preserve">TRX0010</t>
  </si>
  <si>
    <t xml:space="preserve">TRX0069</t>
  </si>
  <si>
    <t xml:space="preserve">TRX0166</t>
  </si>
  <si>
    <t xml:space="preserve">TRX0219</t>
  </si>
  <si>
    <t xml:space="preserve">TRX0024</t>
  </si>
  <si>
    <t xml:space="preserve">TRX0105</t>
  </si>
  <si>
    <t xml:space="preserve">TRX0011</t>
  </si>
  <si>
    <t xml:space="preserve">TRX0187</t>
  </si>
  <si>
    <t xml:space="preserve">TRX0089</t>
  </si>
  <si>
    <t xml:space="preserve">TRX0196</t>
  </si>
  <si>
    <t xml:space="preserve">TRX0118</t>
  </si>
  <si>
    <t xml:space="preserve">TRX0168</t>
  </si>
  <si>
    <t xml:space="preserve">TRX0179</t>
  </si>
  <si>
    <t xml:space="preserve">TRX0214</t>
  </si>
  <si>
    <t xml:space="preserve">TRX0221</t>
  </si>
  <si>
    <t xml:space="preserve">TRX0083</t>
  </si>
  <si>
    <t xml:space="preserve">TRX0151</t>
  </si>
  <si>
    <t xml:space="preserve">TRX0047</t>
  </si>
  <si>
    <t xml:space="preserve">TRX0062</t>
  </si>
  <si>
    <t xml:space="preserve">TRX0200</t>
  </si>
  <si>
    <t xml:space="preserve">TRX0182</t>
  </si>
  <si>
    <t xml:space="preserve">TRX0048</t>
  </si>
  <si>
    <t xml:space="preserve">TRX0229</t>
  </si>
  <si>
    <t xml:space="preserve">TRX0227</t>
  </si>
  <si>
    <t xml:space="preserve">TRX0226</t>
  </si>
  <si>
    <t xml:space="preserve">TRX0053</t>
  </si>
  <si>
    <t xml:space="preserve">TRX0175</t>
  </si>
  <si>
    <t xml:space="preserve">TRX0233</t>
  </si>
  <si>
    <t xml:space="preserve">TRX0016</t>
  </si>
  <si>
    <t xml:space="preserve">TRX0186</t>
  </si>
  <si>
    <t xml:space="preserve">TRX0199</t>
  </si>
  <si>
    <t xml:space="preserve">TRX0038</t>
  </si>
  <si>
    <t xml:space="preserve">TRX0014</t>
  </si>
  <si>
    <t xml:space="preserve">TRX0003</t>
  </si>
  <si>
    <t xml:space="preserve">TRX0013</t>
  </si>
  <si>
    <t xml:space="preserve">TRX0124</t>
  </si>
  <si>
    <t xml:space="preserve">TRX0019</t>
  </si>
  <si>
    <t xml:space="preserve">TRX0050</t>
  </si>
  <si>
    <t xml:space="preserve">CUST001</t>
  </si>
  <si>
    <t xml:space="preserve">John Smith</t>
  </si>
  <si>
    <t xml:space="preserve">TRX0152</t>
  </si>
  <si>
    <t xml:space="preserve">TRX0213</t>
  </si>
  <si>
    <t xml:space="preserve">TRX0197</t>
  </si>
  <si>
    <t xml:space="preserve">TRX0250</t>
  </si>
  <si>
    <t xml:space="preserve">TRX0068</t>
  </si>
  <si>
    <t xml:space="preserve">TRX0144</t>
  </si>
  <si>
    <t xml:space="preserve">TRX0039</t>
  </si>
  <si>
    <t xml:space="preserve">TRX0116</t>
  </si>
  <si>
    <t xml:space="preserve">TRX0064</t>
  </si>
  <si>
    <t xml:space="preserve">TRX0103</t>
  </si>
  <si>
    <t xml:space="preserve">TRX0120</t>
  </si>
  <si>
    <t xml:space="preserve">ANALYSIS - every number is a formula (yellow cells with blue text are inputs you can change)</t>
  </si>
  <si>
    <t xml:space="preserve">1. DATE &amp; TIME FUNCTIONS  (TODAY, NOW, DATEDIF, EOMONTH)</t>
  </si>
  <si>
    <t xml:space="preserve">Today's date  [TODAY]</t>
  </si>
  <si>
    <t xml:space="preserve">Current date &amp; time  [NOW]</t>
  </si>
  <si>
    <t xml:space="preserve">First order date</t>
  </si>
  <si>
    <t xml:space="preserve">Latest order date</t>
  </si>
  <si>
    <t xml:space="preserve">Days since last order</t>
  </si>
  <si>
    <t xml:space="preserve">Data span  [DATEDIF]</t>
  </si>
  <si>
    <t xml:space="preserve">Month-end of latest order  [EOMONTH]</t>
  </si>
  <si>
    <t xml:space="preserve">Days left in that month</t>
  </si>
  <si>
    <t xml:space="preserve">First day of next month</t>
  </si>
  <si>
    <t xml:space="preserve">Months from first order till today</t>
  </si>
  <si>
    <t xml:space="preserve">2. FILTER FUNCTION - multi-value return (pick a region)</t>
  </si>
  <si>
    <t xml:space="preserve">Select Region</t>
  </si>
  <si>
    <t xml:space="preserve">Excel 365 FILTER formula to type:</t>
  </si>
  <si>
    <t xml:space="preserve">=FILTER('Raw Data'!A2:N251,'Raw Data'!K2:K251=B16,"No data")</t>
  </si>
  <si>
    <t xml:space="preserve">Matching orders</t>
  </si>
  <si>
    <t xml:space="preserve">#</t>
  </si>
  <si>
    <t xml:space="preserve">Transaction</t>
  </si>
  <si>
    <t xml:space="preserve">Customer</t>
  </si>
  <si>
    <t xml:space="preserve">Product</t>
  </si>
  <si>
    <t xml:space="preserve">Total Amount</t>
  </si>
  <si>
    <t xml:space="preserve">Shows the first 10 matches using a helper column (works in every Excel version). In Excel 365 the FILTER formula above returns all matches in one cell.</t>
  </si>
  <si>
    <t xml:space="preserve">3. TIMESTAMP using NOW() + iterative calculation</t>
  </si>
  <si>
    <t xml:space="preserve">Type anything here  -&gt;</t>
  </si>
  <si>
    <t xml:space="preserve">Timestamp (freezes once typed)</t>
  </si>
  <si>
    <t xml:space="preserve">Needs File &gt; Options &gt; Formulas &gt; Enable iterative calculation (already ON in this file).</t>
  </si>
  <si>
    <t xml:space="preserve">4. WHAT-IF ANALYSIS  (Scenario Manager + Goal Seek)</t>
  </si>
  <si>
    <t xml:space="preserve">Base revenue (actual)</t>
  </si>
  <si>
    <t xml:space="preserve">Price change %</t>
  </si>
  <si>
    <t xml:space="preserve">Quantity change %</t>
  </si>
  <si>
    <t xml:space="preserve">Discount %</t>
  </si>
  <si>
    <t xml:space="preserve">Projected revenue</t>
  </si>
  <si>
    <t xml:space="preserve">Change vs base</t>
  </si>
  <si>
    <t xml:space="preserve">Goal Seek target revenue</t>
  </si>
  <si>
    <t xml:space="preserve">My assumption: 25% above actual revenue - change it</t>
  </si>
  <si>
    <t xml:space="preserve">Gap to target</t>
  </si>
  <si>
    <t xml:space="preserve">Monthly revenue target (dashboard KPI)</t>
  </si>
  <si>
    <t xml:space="preserve">My assumption: about 10% above the average full month - change it</t>
  </si>
  <si>
    <t xml:space="preserve">Scenario</t>
  </si>
  <si>
    <t xml:space="preserve">Price %</t>
  </si>
  <si>
    <t xml:space="preserve">Quantity %</t>
  </si>
  <si>
    <t xml:space="preserve">Projected Revenue</t>
  </si>
  <si>
    <t xml:space="preserve">Best case</t>
  </si>
  <si>
    <t xml:space="preserve">Base case</t>
  </si>
  <si>
    <t xml:space="preserve">Worst case</t>
  </si>
  <si>
    <t xml:space="preserve">5. LINEAR REGRESSION - monthly revenue trend (full months only)</t>
  </si>
  <si>
    <t xml:space="preserve">Month #</t>
  </si>
  <si>
    <t xml:space="preserve">Month Start</t>
  </si>
  <si>
    <t xml:space="preserve">Label</t>
  </si>
  <si>
    <t xml:space="preserve">Revenue</t>
  </si>
  <si>
    <t xml:space="preserve">Trend (fitted)</t>
  </si>
  <si>
    <t xml:space="preserve">MoM %</t>
  </si>
  <si>
    <t xml:space="preserve">Statistic</t>
  </si>
  <si>
    <t xml:space="preserve">Value</t>
  </si>
  <si>
    <t xml:space="preserve">Slope ($ per month)</t>
  </si>
  <si>
    <t xml:space="preserve">Intercept</t>
  </si>
  <si>
    <t xml:space="preserve">R-squared</t>
  </si>
  <si>
    <t xml:space="preserve">Correlation</t>
  </si>
  <si>
    <t xml:space="preserve">Forecast month 12</t>
  </si>
  <si>
    <t xml:space="preserve">Partial months (excluded from trend):</t>
  </si>
  <si>
    <t xml:space="preserve">Data starts 11-Apr-2024 and ends 11-Apr-2025, so these two months are incomplete.</t>
  </si>
  <si>
    <t xml:space="preserve">6. GROUP BY - HIGH-VALUE CUSTOMERS (SUMIFS / COUNTIFS / RANK)</t>
  </si>
  <si>
    <t xml:space="preserve">High-value = top X% of customers</t>
  </si>
  <si>
    <t xml:space="preserve">Revenue cut-off for High Value</t>
  </si>
  <si>
    <t xml:space="preserve">Median customer revenue</t>
  </si>
  <si>
    <t xml:space="preserve">Customer ID</t>
  </si>
  <si>
    <t xml:space="preserve">Customer Name</t>
  </si>
  <si>
    <t xml:space="preserve">Last Order</t>
  </si>
  <si>
    <t xml:space="preserve">Total Revenue</t>
  </si>
  <si>
    <t xml:space="preserve">Orders</t>
  </si>
  <si>
    <t xml:space="preserve">Avg Order Value</t>
  </si>
  <si>
    <t xml:space="preserve">Rank</t>
  </si>
  <si>
    <t xml:space="preserve">Segment</t>
  </si>
  <si>
    <t xml:space="preserve">Abbreviation</t>
  </si>
  <si>
    <t xml:space="preserve">Repeat?</t>
  </si>
  <si>
    <t xml:space="preserve">Top 5 customers</t>
  </si>
  <si>
    <t xml:space="preserve">Share of total</t>
  </si>
  <si>
    <t xml:space="preserve">High-value customers (count)</t>
  </si>
  <si>
    <t xml:space="preserve">Their share of revenue</t>
  </si>
  <si>
    <t xml:space="preserve">7. MOST FREQUENT PRODUCT &amp; REPEATING NAMES (COUNTIF / INDEX-MATCH)</t>
  </si>
  <si>
    <t xml:space="preserve">Times Purchased (orders)</t>
  </si>
  <si>
    <t xml:space="preserve">Units Sold</t>
  </si>
  <si>
    <t xml:space="preserve">Revenue Share</t>
  </si>
  <si>
    <t xml:space="preserve">Revenue Rank</t>
  </si>
  <si>
    <t xml:space="preserve">Product Code</t>
  </si>
  <si>
    <t xml:space="preserve">Most frequently purchased product</t>
  </si>
  <si>
    <t xml:space="preserve">Most units sold</t>
  </si>
  <si>
    <t xml:space="preserve">Highest revenue product</t>
  </si>
  <si>
    <t xml:space="preserve">Most repeating customer name</t>
  </si>
  <si>
    <t xml:space="preserve">   ...number of orders</t>
  </si>
  <si>
    <t xml:space="preserve">Repeat customers (more than 1 order)</t>
  </si>
  <si>
    <t xml:space="preserve">% of customers</t>
  </si>
  <si>
    <t xml:space="preserve">Sales by Category</t>
  </si>
  <si>
    <t xml:space="preserve">Share</t>
  </si>
  <si>
    <t xml:space="preserve">Total</t>
  </si>
  <si>
    <t xml:space="preserve">Regional Sales</t>
  </si>
  <si>
    <t xml:space="preserve">Top region</t>
  </si>
  <si>
    <t xml:space="preserve">Weakest region</t>
  </si>
  <si>
    <t xml:space="preserve">Sales by Payment Method</t>
  </si>
  <si>
    <t xml:space="preserve">Payment Method</t>
  </si>
  <si>
    <t xml:space="preserve">8. COMPARE TWO LISTS - extract matching names into a new column</t>
  </si>
  <si>
    <t xml:space="preserve">List 1: Campaign list (sample)</t>
  </si>
  <si>
    <t xml:space="preserve">List 2: Customers</t>
  </si>
  <si>
    <t xml:space="preserve">Matching names (in both)</t>
  </si>
  <si>
    <t xml:space="preserve">Sunil Kumar</t>
  </si>
  <si>
    <t xml:space="preserve">Tina Dsouza</t>
  </si>
  <si>
    <t xml:space="preserve">Alok Pandey</t>
  </si>
  <si>
    <t xml:space="preserve">Farhan Khan</t>
  </si>
  <si>
    <t xml:space="preserve">Names found in both lists</t>
  </si>
  <si>
    <t xml:space="preserve">List 1 is a sample campaign list I made from your customer names plus 4 outsiders - paste your own names in the yellow cells.</t>
  </si>
  <si>
    <t xml:space="preserve">VISUALIZATIONS - charts built from the Analysis sheet</t>
  </si>
  <si>
    <t xml:space="preserve">DATA INTELLIGENCE DASHBOARD</t>
  </si>
  <si>
    <t xml:space="preserve">REGION</t>
  </si>
  <si>
    <t xml:space="preserve">All</t>
  </si>
  <si>
    <t xml:space="preserve">CATEGORY</t>
  </si>
  <si>
    <t xml:space="preserve">PAYMENT</t>
  </si>
  <si>
    <t xml:space="preserve">Pick a value from the yellow dropdowns - every card and chart below updates. Choose All to reset.</t>
  </si>
  <si>
    <t xml:space="preserve">TOTAL REVENUE</t>
  </si>
  <si>
    <t xml:space="preserve">ORDERS</t>
  </si>
  <si>
    <t xml:space="preserve">UNITS SOLD</t>
  </si>
  <si>
    <t xml:space="preserve">AVG ORDER VALUE</t>
  </si>
  <si>
    <t xml:space="preserve">MONTH-ON-MONTH GROWTH</t>
  </si>
  <si>
    <t xml:space="preserve">LAST MONTH vs AVERAGE</t>
  </si>
  <si>
    <t xml:space="preserve">TOP PRODUCT</t>
  </si>
  <si>
    <t xml:space="preserve">TOP CUSTOMER</t>
  </si>
  <si>
    <t xml:space="preserve">Note: Apr-2024 and Apr-2025 are partial months (data runs 11-Apr-2024 to 11-Apr-2025), so monthly figures use full months May-2024 to Mar-2025.</t>
  </si>
  <si>
    <t xml:space="preserve">DASHBOARD ENGINE - do not edit. It reads the dropdowns on the Dashboard sheet.</t>
  </si>
  <si>
    <t xml:space="preserve">Region criteria</t>
  </si>
  <si>
    <t xml:space="preserve">Category criteria</t>
  </si>
  <si>
    <t xml:space="preserve">Payment criteria</t>
  </si>
  <si>
    <t xml:space="preserve">Revenue (selection)</t>
  </si>
  <si>
    <t xml:space="preserve">Units sold</t>
  </si>
  <si>
    <t xml:space="preserve">Average order value</t>
  </si>
  <si>
    <t xml:space="preserve">Share of all revenue</t>
  </si>
  <si>
    <t xml:space="preserve">Overall avg order value</t>
  </si>
  <si>
    <t xml:space="preserve">Last full month revenue</t>
  </si>
  <si>
    <t xml:space="preserve">Previous month revenue</t>
  </si>
  <si>
    <t xml:space="preserve">Month-on-month growth</t>
  </si>
  <si>
    <t xml:space="preserve">Average full month</t>
  </si>
  <si>
    <t xml:space="preserve">Last month vs average</t>
  </si>
  <si>
    <t xml:space="preserve">Top product</t>
  </si>
  <si>
    <t xml:space="preserve">Top product revenue</t>
  </si>
  <si>
    <t xml:space="preserve">Top customer</t>
  </si>
  <si>
    <t xml:space="preserve">Top customer revenue</t>
  </si>
  <si>
    <t xml:space="preserve">Best month</t>
  </si>
  <si>
    <t xml:space="preserve">Units</t>
  </si>
  <si>
    <t xml:space="preserve">Product (sorted)</t>
  </si>
  <si>
    <t xml:space="preserve">Top customers</t>
  </si>
  <si>
    <t xml:space="preserve">FINAL REPORT - INSIGHTS &amp; STORYTELLING</t>
  </si>
  <si>
    <t xml:space="preserve">Every sentence below is a live formula, so it updates when the data changes.</t>
  </si>
  <si>
    <t xml:space="preserve">1. Headline</t>
  </si>
  <si>
    <t xml:space="preserve">2. Regional sales</t>
  </si>
  <si>
    <t xml:space="preserve">3. Customers</t>
  </si>
  <si>
    <t xml:space="preserve">4. Loyalty</t>
  </si>
  <si>
    <t xml:space="preserve">5. Products</t>
  </si>
  <si>
    <t xml:space="preserve">6. Trend &amp; forecast</t>
  </si>
  <si>
    <t xml:space="preserve">7. What-if</t>
  </si>
  <si>
    <t xml:space="preserve">8. Recommendations (edit after you read the numbers)</t>
  </si>
  <si>
    <t xml:space="preserve">Focus retention offers on High-Value and repeat customers; run a campaign in the weakest region; bundle the most-bought product with high-revenue products to lift average order value.</t>
  </si>
  <si>
    <t xml:space="preserve">STEP-BY-STEP: features that must be done by hand in Excel</t>
  </si>
  <si>
    <t xml:space="preserve">PIVOT TABLES</t>
  </si>
  <si>
    <t xml:space="preserve">1) Click any cell in the Raw Data table. 2) Insert &gt; PivotTable &gt; New Worksheet, name it 'Pivots'.
3) Pivot 1: Rows = Region, Values = Sum of Total_Amount. 4) Pivot 2: Rows = Month End (group by Months and Years), Values = Sum of Total_Amount.
5) Pivot 3: Rows = Category, Values = Sum of Total_Amount. 6) Pivot 4: Rows = Product_Name, Values = Sum of Quantity.</t>
  </si>
  <si>
    <t xml:space="preserve">PIVOT CHARTS</t>
  </si>
  <si>
    <t xml:space="preserve">Click inside a pivot &gt; PivotTable Analyze &gt; PivotChart. Pivot 1 = Bar (clustered column), Pivot 2 = Line, Pivot 3 = Pie. Cut the charts and paste them on the Dashboard sheet (below the existing charts, or replace them).</t>
  </si>
  <si>
    <t xml:space="preserve">SLICERS</t>
  </si>
  <si>
    <t xml:space="preserve">Click a pivot &gt; PivotTable Analyze &gt; Insert Slicer &gt; tick Region, Category, Payment_Method, Customer_Segment. Right-click each slicer &gt; Report Connections &gt; tick ALL pivots so one click filters the whole dashboard.</t>
  </si>
  <si>
    <t xml:space="preserve">TIMELINE</t>
  </si>
  <si>
    <t xml:space="preserve">Click a pivot &gt; PivotTable Analyze &gt; Insert Timeline &gt; Date. Connect it to all pivots with Report Connections. Drag the bar to filter by months.</t>
  </si>
  <si>
    <t xml:space="preserve">SCENARIO MANAGER</t>
  </si>
  <si>
    <t xml:space="preserve">Data &gt; What-If Analysis &gt; Scenario Manager &gt; Add. Changing cells: Analysis!B40:B42.
Best = 10%, 15%, 0% | Base = 5%, 10%, 2% | Worst = 0%, -5%, 5%.
Then click Summary &gt; Scenario summary, Result cell = Analysis!B43.</t>
  </si>
  <si>
    <t xml:space="preserve">GOAL SEEK</t>
  </si>
  <si>
    <t xml:space="preserve">Data &gt; What-If Analysis &gt; Goal Seek.  Set cell = Analysis!B43 | To value = the number in B45 | By changing cell = Analysis!B40.
Excel finds the price increase needed to reach the target revenue.</t>
  </si>
  <si>
    <t xml:space="preserve">REGRESSION (Data Analysis Toolpak)</t>
  </si>
  <si>
    <t xml:space="preserve">File &gt; Options &gt; Add-ins &gt; Manage Excel Add-ins &gt; Go &gt; tick Analysis ToolPak.
Data &gt; Data Analysis &gt; Regression. Input Y Range = Analysis!D56:D66 | Input X Range = Analysis!A56:A66 | tick Labels off | Output = New Worksheet.
Read: R Square (how well the line fits), Significance F (below 0.05 means the trend is real), X Variable 1 coefficient (= slope in I56).</t>
  </si>
  <si>
    <t xml:space="preserve">ITERATIVE TIMESTAMP</t>
  </si>
  <si>
    <t xml:space="preserve">File &gt; Options &gt; Formulas &gt; tick 'Enable iterative calculation'. Then =IF(B34="","",IF(B35="",NOW(),B35)) in B35 freezes the time when B34 is filled.</t>
  </si>
  <si>
    <t xml:space="preserve">FILTER (Excel 365)</t>
  </si>
  <si>
    <t xml:space="preserve">In a blank area type the formula shown in Analysis!B17. It spills all matching rows automatically. Change Analysis!B16 to switch region.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</si>
</sst>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\-mmm\-yyyy"/>
    <numFmt numFmtId="166" formatCode="\$#,##0.00"/>
    <numFmt numFmtId="167" formatCode="dd\-mmm\-yyyy\ hh:mm:ss"/>
    <numFmt numFmtId="168" formatCode="0"/>
    <numFmt numFmtId="169" formatCode="\$#,##0"/>
    <numFmt numFmtId="170" formatCode="0.0%"/>
    <numFmt numFmtId="171" formatCode="0.000"/>
    <numFmt numFmtId="172" formatCode="#,##0"/>
    <numFmt numFmtId="173" formatCode="\+0.0%;\-0.0%;0.0%"/>
    <numFmt numFmtId="174" formatCode="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22"/>
      <color rgb="FFFFFFFF"/>
      <name val="Arial"/>
      <family val="0"/>
      <charset val="1"/>
    </font>
    <font>
      <i val="true"/>
      <sz val="10"/>
      <color rgb="FFBDD7EE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7F7F7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2"/>
      <color rgb="FF2F559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1F3864"/>
      </patternFill>
    </fill>
    <fill>
      <patternFill patternType="solid">
        <fgColor rgb="FFFFF2CC"/>
        <bgColor rgb="FFF9F9F9"/>
      </patternFill>
    </fill>
    <fill>
      <patternFill patternType="solid">
        <fgColor rgb="FF1F3864"/>
        <bgColor rgb="FF2F5597"/>
      </patternFill>
    </fill>
    <fill>
      <patternFill patternType="solid">
        <fgColor rgb="FFF3F6FA"/>
        <bgColor rgb="FFF9F9F9"/>
      </patternFill>
    </fill>
    <fill>
      <patternFill patternType="solid">
        <fgColor rgb="FFFFFFFF"/>
        <bgColor rgb="FFF9F9F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ck">
        <color rgb="FF2F5597"/>
      </top>
      <bottom/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ck">
        <color rgb="FF54823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BFBFBF"/>
      <rgbColor rgb="FF7F7F7F"/>
      <rgbColor rgb="FF9999FF"/>
      <rgbColor rgb="FFAA433F"/>
      <rgbColor rgb="FFFFF2CC"/>
      <rgbColor rgb="FFF3F6FA"/>
      <rgbColor rgb="FF660066"/>
      <rgbColor rgb="FFCC8F8E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FFF99"/>
      <rgbColor rgb="FF99CCFF"/>
      <rgbColor rgb="FFFF99CC"/>
      <rgbColor rgb="FFCC99FF"/>
      <rgbColor rgb="FFD9D9D9"/>
      <rgbColor rgb="FF4F81BD"/>
      <rgbColor rgb="FF33CCCC"/>
      <rgbColor rgb="FF9BBB59"/>
      <rgbColor rgb="FFFFCC00"/>
      <rgbColor rgb="FFFF9900"/>
      <rgbColor rgb="FFC55A11"/>
      <rgbColor rgb="FF8064A2"/>
      <rgbColor rgb="FF878787"/>
      <rgbColor rgb="FF1F3864"/>
      <rgbColor rgb="FF339966"/>
      <rgbColor rgb="FF003300"/>
      <rgbColor rgb="FF333300"/>
      <rgbColor rgb="FF993300"/>
      <rgbColor rgb="FFC0504D"/>
      <rgbColor rgb="FF2F5597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Analysis!C174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Analysis!$A$175:$A$179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Analysis!$C$175:$C$179</c:f>
              <c:numCache>
                <c:formatCode>\$#,##0</c:formatCode>
                <c:ptCount val="5"/>
                <c:pt idx="0">
                  <c:v>41288.34</c:v>
                </c:pt>
                <c:pt idx="1">
                  <c:v>59288.39</c:v>
                </c:pt>
                <c:pt idx="2">
                  <c:v>50808.31</c:v>
                </c:pt>
                <c:pt idx="3">
                  <c:v>36398.75</c:v>
                </c:pt>
                <c:pt idx="4">
                  <c:v>41408.68</c:v>
                </c:pt>
              </c:numCache>
            </c:numRef>
          </c:val>
        </c:ser>
        <c:gapWidth val="150"/>
        <c:overlap val="0"/>
        <c:axId val="74916633"/>
        <c:axId val="85234234"/>
      </c:barChart>
      <c:catAx>
        <c:axId val="749166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34234"/>
        <c:crosses val="autoZero"/>
        <c:auto val="1"/>
        <c:lblAlgn val="ctr"/>
        <c:lblOffset val="100"/>
        <c:noMultiLvlLbl val="0"/>
      </c:catAx>
      <c:valAx>
        <c:axId val="852342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166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Analysis!C167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Analysis!$A$168:$A$170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Analysis!$C$168:$C$170</c:f>
              <c:numCache>
                <c:formatCode>\$#,##0</c:formatCode>
                <c:ptCount val="3"/>
                <c:pt idx="0">
                  <c:v>8338.74</c:v>
                </c:pt>
                <c:pt idx="1">
                  <c:v>171756.05</c:v>
                </c:pt>
                <c:pt idx="2">
                  <c:v>49097.68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Analysis!E147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Analysis!$A$148:$A$157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Analysis!$E$148:$E$157</c:f>
              <c:numCache>
                <c:formatCode>\$#,##0</c:formatCode>
                <c:ptCount val="10"/>
                <c:pt idx="0">
                  <c:v>5219.13</c:v>
                </c:pt>
                <c:pt idx="1">
                  <c:v>15298.98</c:v>
                </c:pt>
                <c:pt idx="2">
                  <c:v>3119.61</c:v>
                </c:pt>
                <c:pt idx="3">
                  <c:v>23399.22</c:v>
                </c:pt>
                <c:pt idx="4">
                  <c:v>7049.53</c:v>
                </c:pt>
                <c:pt idx="5">
                  <c:v>8009.11</c:v>
                </c:pt>
                <c:pt idx="6">
                  <c:v>67499.25</c:v>
                </c:pt>
                <c:pt idx="7">
                  <c:v>21999.12</c:v>
                </c:pt>
                <c:pt idx="8">
                  <c:v>10399.48</c:v>
                </c:pt>
                <c:pt idx="9">
                  <c:v>67199.04</c:v>
                </c:pt>
              </c:numCache>
            </c:numRef>
          </c:val>
        </c:ser>
        <c:gapWidth val="150"/>
        <c:overlap val="0"/>
        <c:axId val="52121803"/>
        <c:axId val="65217537"/>
      </c:barChart>
      <c:catAx>
        <c:axId val="521218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17537"/>
        <c:crosses val="autoZero"/>
        <c:auto val="1"/>
        <c:lblAlgn val="ctr"/>
        <c:lblOffset val="100"/>
        <c:noMultiLvlLbl val="0"/>
      </c:catAx>
      <c:valAx>
        <c:axId val="652175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218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Trend line (full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Analysis!D55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Analysis!$C$56:$C$66</c:f>
              <c:strCache>
                <c:ptCount val="11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</c:strCache>
            </c:strRef>
          </c:cat>
          <c:val>
            <c:numRef>
              <c:f>Analysis!$D$56:$D$66</c:f>
              <c:numCache>
                <c:formatCode>\$#,##0</c:formatCode>
                <c:ptCount val="11"/>
                <c:pt idx="0">
                  <c:v>17039.35</c:v>
                </c:pt>
                <c:pt idx="1">
                  <c:v>19299.45</c:v>
                </c:pt>
                <c:pt idx="2">
                  <c:v>18479.4</c:v>
                </c:pt>
                <c:pt idx="3">
                  <c:v>15759.43</c:v>
                </c:pt>
                <c:pt idx="4">
                  <c:v>12989.51</c:v>
                </c:pt>
                <c:pt idx="5">
                  <c:v>20609.52</c:v>
                </c:pt>
                <c:pt idx="6">
                  <c:v>12309.44</c:v>
                </c:pt>
                <c:pt idx="7">
                  <c:v>23039.3</c:v>
                </c:pt>
                <c:pt idx="8">
                  <c:v>25799.15</c:v>
                </c:pt>
                <c:pt idx="9">
                  <c:v>16069.38</c:v>
                </c:pt>
                <c:pt idx="10">
                  <c:v>19899.38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Analysis!E55</c:f>
              <c:strCache>
                <c:ptCount val="1"/>
                <c:pt idx="0">
                  <c:v>Trend (fitted)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Analysis!$C$56:$C$66</c:f>
              <c:strCache>
                <c:ptCount val="11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</c:strCache>
            </c:strRef>
          </c:cat>
          <c:val>
            <c:numRef>
              <c:f>Analysis!$E$56:$E$66</c:f>
              <c:numCache>
                <c:formatCode>\$#,##0</c:formatCode>
                <c:ptCount val="11"/>
                <c:pt idx="0">
                  <c:v>16607.6286363636</c:v>
                </c:pt>
                <c:pt idx="1">
                  <c:v>16945.9812727273</c:v>
                </c:pt>
                <c:pt idx="2">
                  <c:v>17284.3339090909</c:v>
                </c:pt>
                <c:pt idx="3">
                  <c:v>17622.6865454545</c:v>
                </c:pt>
                <c:pt idx="4">
                  <c:v>17961.0391818182</c:v>
                </c:pt>
                <c:pt idx="5">
                  <c:v>18299.3918181818</c:v>
                </c:pt>
                <c:pt idx="6">
                  <c:v>18637.7444545455</c:v>
                </c:pt>
                <c:pt idx="7">
                  <c:v>18976.0970909091</c:v>
                </c:pt>
                <c:pt idx="8">
                  <c:v>19314.4497272727</c:v>
                </c:pt>
                <c:pt idx="9">
                  <c:v>19652.8023636364</c:v>
                </c:pt>
                <c:pt idx="10">
                  <c:v>19991.155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711598"/>
        <c:axId val="17858014"/>
      </c:lineChart>
      <c:catAx>
        <c:axId val="777115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58014"/>
        <c:crosses val="autoZero"/>
        <c:auto val="1"/>
        <c:lblAlgn val="ctr"/>
        <c:lblOffset val="100"/>
        <c:noMultiLvlLbl val="0"/>
      </c:catAx>
      <c:valAx>
        <c:axId val="178580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115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Customers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Analysis!C137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Analysis!$B$138:$B$142</c:f>
              <c:strCache>
                <c:ptCount val="5"/>
                <c:pt idx="0">
                  <c:v>Mark Carter</c:v>
                </c:pt>
                <c:pt idx="1">
                  <c:v>Edward Mitchell</c:v>
                </c:pt>
                <c:pt idx="2">
                  <c:v>Barbara Young</c:v>
                </c:pt>
                <c:pt idx="3">
                  <c:v>Patricia Moore</c:v>
                </c:pt>
                <c:pt idx="4">
                  <c:v>Paul Baker</c:v>
                </c:pt>
              </c:strCache>
            </c:strRef>
          </c:cat>
          <c:val>
            <c:numRef>
              <c:f>Analysis!$C$138:$C$142</c:f>
              <c:numCache>
                <c:formatCode>\$#,##0</c:formatCode>
                <c:ptCount val="5"/>
                <c:pt idx="0">
                  <c:v>15659.65</c:v>
                </c:pt>
                <c:pt idx="1">
                  <c:v>11919.77</c:v>
                </c:pt>
                <c:pt idx="2">
                  <c:v>10649.8</c:v>
                </c:pt>
                <c:pt idx="3">
                  <c:v>9799.73</c:v>
                </c:pt>
                <c:pt idx="4">
                  <c:v>8309.74</c:v>
                </c:pt>
              </c:numCache>
            </c:numRef>
          </c:val>
        </c:ser>
        <c:gapWidth val="150"/>
        <c:overlap val="0"/>
        <c:axId val="47794678"/>
        <c:axId val="76038809"/>
      </c:barChart>
      <c:catAx>
        <c:axId val="477946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38809"/>
        <c:crosses val="autoZero"/>
        <c:auto val="1"/>
        <c:lblAlgn val="ctr"/>
        <c:lblOffset val="100"/>
        <c:noMultiLvlLbl val="0"/>
      </c:catAx>
      <c:valAx>
        <c:axId val="760388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946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Analysis!C185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Analysis!$A$186:$A$189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Analysis!$C$186:$C$189</c:f>
              <c:numCache>
                <c:formatCode>\$#,##0</c:formatCode>
                <c:ptCount val="4"/>
                <c:pt idx="0">
                  <c:v>57427.79</c:v>
                </c:pt>
                <c:pt idx="1">
                  <c:v>61447.96</c:v>
                </c:pt>
                <c:pt idx="2">
                  <c:v>52118.31</c:v>
                </c:pt>
                <c:pt idx="3">
                  <c:v>58198.41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'Dash Data'!C27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 Data'!$B$28:$B$38</c:f>
              <c:strCache>
                <c:ptCount val="11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</c:strCache>
            </c:strRef>
          </c:cat>
          <c:val>
            <c:numRef>
              <c:f>'Dash Data'!$C$28:$C$38</c:f>
              <c:numCache>
                <c:formatCode>\$#,##0</c:formatCode>
                <c:ptCount val="11"/>
                <c:pt idx="0">
                  <c:v>17039.35</c:v>
                </c:pt>
                <c:pt idx="1">
                  <c:v>19299.45</c:v>
                </c:pt>
                <c:pt idx="2">
                  <c:v>18479.4</c:v>
                </c:pt>
                <c:pt idx="3">
                  <c:v>15759.43</c:v>
                </c:pt>
                <c:pt idx="4">
                  <c:v>12989.51</c:v>
                </c:pt>
                <c:pt idx="5">
                  <c:v>20609.52</c:v>
                </c:pt>
                <c:pt idx="6">
                  <c:v>12309.44</c:v>
                </c:pt>
                <c:pt idx="7">
                  <c:v>23039.3</c:v>
                </c:pt>
                <c:pt idx="8">
                  <c:v>25799.15</c:v>
                </c:pt>
                <c:pt idx="9">
                  <c:v>16069.38</c:v>
                </c:pt>
                <c:pt idx="10">
                  <c:v>19899.38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2744064"/>
        <c:axId val="4098355"/>
      </c:lineChart>
      <c:catAx>
        <c:axId val="9274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8355"/>
        <c:crosses val="autoZero"/>
        <c:auto val="1"/>
        <c:lblAlgn val="ctr"/>
        <c:lblOffset val="100"/>
        <c:noMultiLvlLbl val="0"/>
      </c:catAx>
      <c:valAx>
        <c:axId val="40983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440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'Dash Data'!B57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 Data'!$A$58:$A$62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'Dash Data'!$B$58:$B$62</c:f>
              <c:numCache>
                <c:formatCode>\$#,##0</c:formatCode>
                <c:ptCount val="5"/>
                <c:pt idx="0">
                  <c:v>41288.34</c:v>
                </c:pt>
                <c:pt idx="1">
                  <c:v>59288.39</c:v>
                </c:pt>
                <c:pt idx="2">
                  <c:v>50808.31</c:v>
                </c:pt>
                <c:pt idx="3">
                  <c:v>36398.75</c:v>
                </c:pt>
                <c:pt idx="4">
                  <c:v>41408.68</c:v>
                </c:pt>
              </c:numCache>
            </c:numRef>
          </c:val>
        </c:ser>
        <c:gapWidth val="150"/>
        <c:overlap val="0"/>
        <c:axId val="47349632"/>
        <c:axId val="77392146"/>
      </c:barChart>
      <c:catAx>
        <c:axId val="4734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92146"/>
        <c:crosses val="autoZero"/>
        <c:auto val="1"/>
        <c:lblAlgn val="ctr"/>
        <c:lblOffset val="100"/>
        <c:noMultiLvlLbl val="0"/>
      </c:catAx>
      <c:valAx>
        <c:axId val="773921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496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'Dash Data'!B66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'Dash Data'!$A$67:$A$69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'Dash Data'!$B$67:$B$69</c:f>
              <c:numCache>
                <c:formatCode>\$#,##0</c:formatCode>
                <c:ptCount val="3"/>
                <c:pt idx="0">
                  <c:v>8338.74</c:v>
                </c:pt>
                <c:pt idx="1">
                  <c:v>171756.05</c:v>
                </c:pt>
                <c:pt idx="2">
                  <c:v>49097.68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Products by Revenue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'Dash Data'!H42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 Data'!$G$43:$G$52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Desk</c:v>
                </c:pt>
                <c:pt idx="3">
                  <c:v>Monitor</c:v>
                </c:pt>
                <c:pt idx="4">
                  <c:v>Bookshelf</c:v>
                </c:pt>
                <c:pt idx="5">
                  <c:v>Office Chair</c:v>
                </c:pt>
                <c:pt idx="6">
                  <c:v>Keyboard</c:v>
                </c:pt>
                <c:pt idx="7">
                  <c:v>Headphones</c:v>
                </c:pt>
                <c:pt idx="8">
                  <c:v>Blender</c:v>
                </c:pt>
                <c:pt idx="9">
                  <c:v>Coffee Maker</c:v>
                </c:pt>
              </c:strCache>
            </c:strRef>
          </c:cat>
          <c:val>
            <c:numRef>
              <c:f>'Dash Data'!$H$43:$H$52</c:f>
              <c:numCache>
                <c:formatCode>\$#,##0</c:formatCode>
                <c:ptCount val="10"/>
                <c:pt idx="0">
                  <c:v>67499.25</c:v>
                </c:pt>
                <c:pt idx="1">
                  <c:v>67199.04</c:v>
                </c:pt>
                <c:pt idx="2">
                  <c:v>23399.22</c:v>
                </c:pt>
                <c:pt idx="3">
                  <c:v>21999.12</c:v>
                </c:pt>
                <c:pt idx="4">
                  <c:v>15298.98</c:v>
                </c:pt>
                <c:pt idx="5">
                  <c:v>10399.48</c:v>
                </c:pt>
                <c:pt idx="6">
                  <c:v>8009.11</c:v>
                </c:pt>
                <c:pt idx="7">
                  <c:v>7049.53</c:v>
                </c:pt>
                <c:pt idx="8">
                  <c:v>5219.13</c:v>
                </c:pt>
                <c:pt idx="9">
                  <c:v>3119.61</c:v>
                </c:pt>
              </c:numCache>
            </c:numRef>
          </c:val>
        </c:ser>
        <c:gapWidth val="150"/>
        <c:overlap val="0"/>
        <c:axId val="67116559"/>
        <c:axId val="2966174"/>
      </c:barChart>
      <c:catAx>
        <c:axId val="6711655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6174"/>
        <c:crosses val="autoZero"/>
        <c:auto val="1"/>
        <c:lblAlgn val="ctr"/>
        <c:lblOffset val="100"/>
        <c:noMultiLvlLbl val="0"/>
      </c:catAx>
      <c:valAx>
        <c:axId val="29661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165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Customers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'Dash Data'!H81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 Data'!$G$82:$G$86</c:f>
              <c:strCache>
                <c:ptCount val="5"/>
                <c:pt idx="0">
                  <c:v>Mark Carter</c:v>
                </c:pt>
                <c:pt idx="1">
                  <c:v>Edward Mitchell</c:v>
                </c:pt>
                <c:pt idx="2">
                  <c:v>Barbara Young</c:v>
                </c:pt>
                <c:pt idx="3">
                  <c:v>Patricia Moore</c:v>
                </c:pt>
                <c:pt idx="4">
                  <c:v>Paul Baker</c:v>
                </c:pt>
              </c:strCache>
            </c:strRef>
          </c:cat>
          <c:val>
            <c:numRef>
              <c:f>'Dash Data'!$H$82:$H$86</c:f>
              <c:numCache>
                <c:formatCode>\$#,##0</c:formatCode>
                <c:ptCount val="5"/>
                <c:pt idx="0">
                  <c:v>15659.65</c:v>
                </c:pt>
                <c:pt idx="1">
                  <c:v>11919.77</c:v>
                </c:pt>
                <c:pt idx="2">
                  <c:v>10649.8</c:v>
                </c:pt>
                <c:pt idx="3">
                  <c:v>9799.73</c:v>
                </c:pt>
                <c:pt idx="4">
                  <c:v>8309.74</c:v>
                </c:pt>
              </c:numCache>
            </c:numRef>
          </c:val>
        </c:ser>
        <c:gapWidth val="150"/>
        <c:overlap val="0"/>
        <c:axId val="36398546"/>
        <c:axId val="87669160"/>
      </c:barChart>
      <c:catAx>
        <c:axId val="363985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69160"/>
        <c:crosses val="autoZero"/>
        <c:auto val="1"/>
        <c:lblAlgn val="ctr"/>
        <c:lblOffset val="100"/>
        <c:noMultiLvlLbl val="0"/>
      </c:catAx>
      <c:valAx>
        <c:axId val="876691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985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'Dash Data'!B73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'Dash Data'!$A$74:$A$77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'Dash Data'!$B$74:$B$77</c:f>
              <c:numCache>
                <c:formatCode>\$#,##0</c:formatCode>
                <c:ptCount val="4"/>
                <c:pt idx="0">
                  <c:v>57427.79</c:v>
                </c:pt>
                <c:pt idx="1">
                  <c:v>61447.96</c:v>
                </c:pt>
                <c:pt idx="2">
                  <c:v>52118.31</c:v>
                </c:pt>
                <c:pt idx="3">
                  <c:v>58198.41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8</xdr:col>
      <xdr:colOff>507600</xdr:colOff>
      <xdr:row>16</xdr:row>
      <xdr:rowOff>2520</xdr:rowOff>
    </xdr:to>
    <xdr:graphicFrame>
      <xdr:nvGraphicFramePr>
        <xdr:cNvPr id="0" name="Chart 1"/>
        <xdr:cNvGraphicFramePr/>
      </xdr:nvGraphicFramePr>
      <xdr:xfrm>
        <a:off x="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</xdr:row>
      <xdr:rowOff>160560</xdr:rowOff>
    </xdr:from>
    <xdr:to>
      <xdr:col>17</xdr:col>
      <xdr:colOff>507600</xdr:colOff>
      <xdr:row>16</xdr:row>
      <xdr:rowOff>2520</xdr:rowOff>
    </xdr:to>
    <xdr:graphicFrame>
      <xdr:nvGraphicFramePr>
        <xdr:cNvPr id="1" name="Chart 2"/>
        <xdr:cNvGraphicFramePr/>
      </xdr:nvGraphicFramePr>
      <xdr:xfrm>
        <a:off x="550368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17</xdr:row>
      <xdr:rowOff>160560</xdr:rowOff>
    </xdr:from>
    <xdr:to>
      <xdr:col>8</xdr:col>
      <xdr:colOff>507600</xdr:colOff>
      <xdr:row>32</xdr:row>
      <xdr:rowOff>2880</xdr:rowOff>
    </xdr:to>
    <xdr:graphicFrame>
      <xdr:nvGraphicFramePr>
        <xdr:cNvPr id="2" name="Chart 3"/>
        <xdr:cNvGraphicFramePr/>
      </xdr:nvGraphicFramePr>
      <xdr:xfrm>
        <a:off x="0" y="3429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17</xdr:row>
      <xdr:rowOff>160560</xdr:rowOff>
    </xdr:from>
    <xdr:to>
      <xdr:col>17</xdr:col>
      <xdr:colOff>507600</xdr:colOff>
      <xdr:row>32</xdr:row>
      <xdr:rowOff>2880</xdr:rowOff>
    </xdr:to>
    <xdr:graphicFrame>
      <xdr:nvGraphicFramePr>
        <xdr:cNvPr id="3" name="Chart 4"/>
        <xdr:cNvGraphicFramePr/>
      </xdr:nvGraphicFramePr>
      <xdr:xfrm>
        <a:off x="5503680" y="3429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33</xdr:row>
      <xdr:rowOff>160920</xdr:rowOff>
    </xdr:from>
    <xdr:to>
      <xdr:col>8</xdr:col>
      <xdr:colOff>507600</xdr:colOff>
      <xdr:row>48</xdr:row>
      <xdr:rowOff>2880</xdr:rowOff>
    </xdr:to>
    <xdr:graphicFrame>
      <xdr:nvGraphicFramePr>
        <xdr:cNvPr id="4" name="Chart 5"/>
        <xdr:cNvGraphicFramePr/>
      </xdr:nvGraphicFramePr>
      <xdr:xfrm>
        <a:off x="0" y="6477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33</xdr:row>
      <xdr:rowOff>160920</xdr:rowOff>
    </xdr:from>
    <xdr:to>
      <xdr:col>17</xdr:col>
      <xdr:colOff>507600</xdr:colOff>
      <xdr:row>48</xdr:row>
      <xdr:rowOff>2880</xdr:rowOff>
    </xdr:to>
    <xdr:graphicFrame>
      <xdr:nvGraphicFramePr>
        <xdr:cNvPr id="5" name="Chart 6"/>
        <xdr:cNvGraphicFramePr/>
      </xdr:nvGraphicFramePr>
      <xdr:xfrm>
        <a:off x="5503680" y="6477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0</xdr:rowOff>
    </xdr:from>
    <xdr:to>
      <xdr:col>6</xdr:col>
      <xdr:colOff>890280</xdr:colOff>
      <xdr:row>30</xdr:row>
      <xdr:rowOff>68760</xdr:rowOff>
    </xdr:to>
    <xdr:graphicFrame>
      <xdr:nvGraphicFramePr>
        <xdr:cNvPr id="6" name="Chart 1"/>
        <xdr:cNvGraphicFramePr/>
      </xdr:nvGraphicFramePr>
      <xdr:xfrm>
        <a:off x="141120" y="4067280"/>
        <a:ext cx="547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16</xdr:row>
      <xdr:rowOff>0</xdr:rowOff>
    </xdr:from>
    <xdr:to>
      <xdr:col>12</xdr:col>
      <xdr:colOff>889920</xdr:colOff>
      <xdr:row>30</xdr:row>
      <xdr:rowOff>68760</xdr:rowOff>
    </xdr:to>
    <xdr:graphicFrame>
      <xdr:nvGraphicFramePr>
        <xdr:cNvPr id="7" name="Chart 2"/>
        <xdr:cNvGraphicFramePr/>
      </xdr:nvGraphicFramePr>
      <xdr:xfrm>
        <a:off x="5638680" y="4067280"/>
        <a:ext cx="547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6</xdr:col>
      <xdr:colOff>890280</xdr:colOff>
      <xdr:row>46</xdr:row>
      <xdr:rowOff>68400</xdr:rowOff>
    </xdr:to>
    <xdr:graphicFrame>
      <xdr:nvGraphicFramePr>
        <xdr:cNvPr id="8" name="Chart 3"/>
        <xdr:cNvGraphicFramePr/>
      </xdr:nvGraphicFramePr>
      <xdr:xfrm>
        <a:off x="141120" y="7115040"/>
        <a:ext cx="547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32</xdr:row>
      <xdr:rowOff>0</xdr:rowOff>
    </xdr:from>
    <xdr:to>
      <xdr:col>12</xdr:col>
      <xdr:colOff>889920</xdr:colOff>
      <xdr:row>46</xdr:row>
      <xdr:rowOff>68400</xdr:rowOff>
    </xdr:to>
    <xdr:graphicFrame>
      <xdr:nvGraphicFramePr>
        <xdr:cNvPr id="9" name="Chart 4"/>
        <xdr:cNvGraphicFramePr/>
      </xdr:nvGraphicFramePr>
      <xdr:xfrm>
        <a:off x="5638680" y="7115040"/>
        <a:ext cx="547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6</xdr:col>
      <xdr:colOff>890280</xdr:colOff>
      <xdr:row>62</xdr:row>
      <xdr:rowOff>68760</xdr:rowOff>
    </xdr:to>
    <xdr:graphicFrame>
      <xdr:nvGraphicFramePr>
        <xdr:cNvPr id="10" name="Chart 5"/>
        <xdr:cNvGraphicFramePr/>
      </xdr:nvGraphicFramePr>
      <xdr:xfrm>
        <a:off x="141120" y="10163160"/>
        <a:ext cx="547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48</xdr:row>
      <xdr:rowOff>0</xdr:rowOff>
    </xdr:from>
    <xdr:to>
      <xdr:col>12</xdr:col>
      <xdr:colOff>889920</xdr:colOff>
      <xdr:row>62</xdr:row>
      <xdr:rowOff>68760</xdr:rowOff>
    </xdr:to>
    <xdr:graphicFrame>
      <xdr:nvGraphicFramePr>
        <xdr:cNvPr id="11" name="Chart 6"/>
        <xdr:cNvGraphicFramePr/>
      </xdr:nvGraphicFramePr>
      <xdr:xfrm>
        <a:off x="5638680" y="10163160"/>
        <a:ext cx="547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Sales" displayName="tblSales" ref="A1:R251" headerRowCount="1" totalsRowCount="0" totalsRowShown="0">
  <autoFilter ref="A1:R251"/>
  <tableColumns count="18">
    <tableColumn id="1" name="Transaction_ID"/>
    <tableColumn id="2" name="Date"/>
    <tableColumn id="3" name="Customer_ID"/>
    <tableColumn id="4" name="Customer_Name"/>
    <tableColumn id="5" name="Product_ID"/>
    <tableColumn id="6" name="Product_Name"/>
    <tableColumn id="7" name="Category"/>
    <tableColumn id="8" name="Quantity"/>
    <tableColumn id="9" name="Unit_Price"/>
    <tableColumn id="10" name="Payment_Method"/>
    <tableColumn id="11" name="Region"/>
    <tableColumn id="12" name="Customer_Segment"/>
    <tableColumn id="13" name="Customer_Since"/>
    <tableColumn id="14" name="Total_Amount"/>
    <tableColumn id="15" name="Month End"/>
    <tableColumn id="16" name="Order Age (Months)"/>
    <tableColumn id="17" name="Filter Helper"/>
    <tableColumn id="18" name="Tenure at Order (Month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46"/>
  </cols>
  <sheetData>
    <row r="1" customFormat="false" ht="22.0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</row>
    <row r="5" customFormat="false" ht="15" hidden="false" customHeight="false" outlineLevel="0" collapsed="false">
      <c r="B5" s="4" t="s">
        <v>5</v>
      </c>
      <c r="C5" s="4" t="s">
        <v>6</v>
      </c>
      <c r="D5" s="4" t="s">
        <v>7</v>
      </c>
    </row>
    <row r="6" customFormat="false" ht="15" hidden="false" customHeight="false" outlineLevel="0" collapsed="false">
      <c r="B6" s="4" t="s">
        <v>8</v>
      </c>
      <c r="C6" s="4" t="s">
        <v>9</v>
      </c>
      <c r="D6" s="4" t="s">
        <v>10</v>
      </c>
    </row>
    <row r="7" customFormat="false" ht="15" hidden="false" customHeight="false" outlineLevel="0" collapsed="false">
      <c r="B7" s="4" t="s">
        <v>11</v>
      </c>
      <c r="C7" s="4" t="s">
        <v>12</v>
      </c>
      <c r="D7" s="4" t="s">
        <v>7</v>
      </c>
    </row>
    <row r="8" customFormat="false" ht="15" hidden="false" customHeight="false" outlineLevel="0" collapsed="false">
      <c r="B8" s="4" t="s">
        <v>13</v>
      </c>
      <c r="C8" s="4" t="s">
        <v>14</v>
      </c>
      <c r="D8" s="4" t="s">
        <v>15</v>
      </c>
    </row>
    <row r="9" customFormat="false" ht="15" hidden="false" customHeight="false" outlineLevel="0" collapsed="false">
      <c r="B9" s="4" t="s">
        <v>16</v>
      </c>
      <c r="C9" s="4" t="s">
        <v>17</v>
      </c>
      <c r="D9" s="4" t="s">
        <v>18</v>
      </c>
    </row>
    <row r="10" customFormat="false" ht="15" hidden="false" customHeight="false" outlineLevel="0" collapsed="false">
      <c r="B10" s="4" t="s">
        <v>19</v>
      </c>
      <c r="C10" s="4" t="s">
        <v>20</v>
      </c>
      <c r="D10" s="4" t="s">
        <v>21</v>
      </c>
    </row>
    <row r="11" customFormat="false" ht="15" hidden="false" customHeight="false" outlineLevel="0" collapsed="false">
      <c r="B11" s="4" t="s">
        <v>22</v>
      </c>
      <c r="C11" s="4" t="s">
        <v>23</v>
      </c>
      <c r="D11" s="4" t="s">
        <v>24</v>
      </c>
    </row>
    <row r="12" customFormat="false" ht="15" hidden="false" customHeight="false" outlineLevel="0" collapsed="false">
      <c r="B12" s="4" t="s">
        <v>25</v>
      </c>
      <c r="C12" s="4" t="s">
        <v>26</v>
      </c>
      <c r="D12" s="4" t="s">
        <v>7</v>
      </c>
    </row>
    <row r="13" customFormat="false" ht="23.85" hidden="false" customHeight="false" outlineLevel="0" collapsed="false">
      <c r="B13" s="4" t="s">
        <v>27</v>
      </c>
      <c r="C13" s="4" t="s">
        <v>28</v>
      </c>
      <c r="D13" s="4" t="s">
        <v>29</v>
      </c>
    </row>
    <row r="14" customFormat="false" ht="15" hidden="false" customHeight="false" outlineLevel="0" collapsed="false">
      <c r="B14" s="4" t="s">
        <v>30</v>
      </c>
      <c r="C14" s="4" t="s">
        <v>31</v>
      </c>
      <c r="D14" s="4" t="s">
        <v>7</v>
      </c>
    </row>
    <row r="15" customFormat="false" ht="15" hidden="false" customHeight="false" outlineLevel="0" collapsed="false">
      <c r="B15" s="4" t="s">
        <v>32</v>
      </c>
      <c r="C15" s="4" t="s">
        <v>33</v>
      </c>
      <c r="D15" s="4" t="s">
        <v>7</v>
      </c>
    </row>
    <row r="16" customFormat="false" ht="15" hidden="false" customHeight="false" outlineLevel="0" collapsed="false">
      <c r="B16" s="4" t="s">
        <v>34</v>
      </c>
      <c r="C16" s="4" t="s">
        <v>35</v>
      </c>
      <c r="D16" s="4" t="s">
        <v>7</v>
      </c>
    </row>
    <row r="17" customFormat="false" ht="15" hidden="false" customHeight="false" outlineLevel="0" collapsed="false">
      <c r="B17" s="4" t="s">
        <v>36</v>
      </c>
      <c r="C17" s="4" t="s">
        <v>37</v>
      </c>
      <c r="D17" s="4" t="s">
        <v>7</v>
      </c>
    </row>
    <row r="18" customFormat="false" ht="15" hidden="false" customHeight="false" outlineLevel="0" collapsed="false">
      <c r="B18" s="4" t="s">
        <v>38</v>
      </c>
      <c r="C18" s="4" t="s">
        <v>23</v>
      </c>
      <c r="D18" s="4" t="s">
        <v>7</v>
      </c>
    </row>
    <row r="20" customFormat="false" ht="15" hidden="false" customHeight="false" outlineLevel="0" collapsed="false">
      <c r="B20" s="5" t="s">
        <v>39</v>
      </c>
    </row>
    <row r="21" customFormat="false" ht="15" hidden="false" customHeight="false" outlineLevel="0" collapsed="false">
      <c r="B21" s="6" t="s">
        <v>40</v>
      </c>
    </row>
    <row r="22" customFormat="false" ht="15" hidden="false" customHeight="false" outlineLevel="0" collapsed="false">
      <c r="B22" s="7" t="s">
        <v>41</v>
      </c>
    </row>
    <row r="23" customFormat="false" ht="15" hidden="false" customHeight="false" outlineLevel="0" collapsed="false">
      <c r="B23" s="2" t="s">
        <v>42</v>
      </c>
    </row>
    <row r="24" customFormat="false" ht="15" hidden="false" customHeight="false" outlineLevel="0" collapsed="false">
      <c r="B24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0"/>
    <col collapsed="false" customWidth="true" hidden="false" outlineLevel="0" max="18" min="18" style="0" width="14"/>
  </cols>
  <sheetData>
    <row r="1" customFormat="false" ht="15" hidden="false" customHeight="false" outlineLevel="0" collapsed="false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50</v>
      </c>
      <c r="H1" s="8" t="s">
        <v>51</v>
      </c>
      <c r="I1" s="8" t="s">
        <v>52</v>
      </c>
      <c r="J1" s="8" t="s">
        <v>53</v>
      </c>
      <c r="K1" s="8" t="s">
        <v>54</v>
      </c>
      <c r="L1" s="8" t="s">
        <v>55</v>
      </c>
      <c r="M1" s="8" t="s">
        <v>56</v>
      </c>
      <c r="N1" s="8" t="s">
        <v>57</v>
      </c>
      <c r="O1" s="8" t="s">
        <v>58</v>
      </c>
      <c r="P1" s="8" t="s">
        <v>59</v>
      </c>
      <c r="Q1" s="8" t="s">
        <v>60</v>
      </c>
      <c r="R1" s="8" t="s">
        <v>61</v>
      </c>
    </row>
    <row r="2" customFormat="false" ht="15" hidden="false" customHeight="false" outlineLevel="0" collapsed="false">
      <c r="A2" s="7" t="s">
        <v>62</v>
      </c>
      <c r="B2" s="9" t="n">
        <v>45393</v>
      </c>
      <c r="C2" s="7" t="s">
        <v>63</v>
      </c>
      <c r="D2" s="7" t="s">
        <v>64</v>
      </c>
      <c r="E2" s="7" t="s">
        <v>65</v>
      </c>
      <c r="F2" s="7" t="s">
        <v>66</v>
      </c>
      <c r="G2" s="7" t="s">
        <v>67</v>
      </c>
      <c r="H2" s="7" t="n">
        <v>3</v>
      </c>
      <c r="I2" s="10" t="n">
        <v>249.99</v>
      </c>
      <c r="J2" s="7" t="s">
        <v>68</v>
      </c>
      <c r="K2" s="7" t="s">
        <v>69</v>
      </c>
      <c r="L2" s="7" t="s">
        <v>70</v>
      </c>
      <c r="M2" s="9" t="n">
        <v>44425</v>
      </c>
      <c r="N2" s="10" t="n">
        <v>749.97</v>
      </c>
      <c r="O2" s="9" t="n">
        <f aca="false">EOMONTH(B2,0)</f>
        <v>45412</v>
      </c>
      <c r="P2" s="7" t="n">
        <f aca="true">DATEDIF(B2,TODAY(),"m")</f>
        <v>30</v>
      </c>
      <c r="Q2" s="7" t="n">
        <f aca="false">IF(K2=Analysis!$B$16,COUNTIF($K$2:K2,Analysis!$B$16),"")</f>
        <v>1</v>
      </c>
      <c r="R2" s="7" t="n">
        <f aca="false">IFERROR(DATEDIF(M2,B2,"m"),"")</f>
        <v>31</v>
      </c>
    </row>
    <row r="3" customFormat="false" ht="15" hidden="false" customHeight="false" outlineLevel="0" collapsed="false">
      <c r="A3" s="7" t="s">
        <v>71</v>
      </c>
      <c r="B3" s="9" t="n">
        <v>45396</v>
      </c>
      <c r="C3" s="7" t="s">
        <v>72</v>
      </c>
      <c r="D3" s="7" t="s">
        <v>73</v>
      </c>
      <c r="E3" s="7" t="s">
        <v>65</v>
      </c>
      <c r="F3" s="7" t="s">
        <v>66</v>
      </c>
      <c r="G3" s="7" t="s">
        <v>67</v>
      </c>
      <c r="H3" s="7" t="n">
        <v>3</v>
      </c>
      <c r="I3" s="10" t="n">
        <v>249.99</v>
      </c>
      <c r="J3" s="7" t="s">
        <v>74</v>
      </c>
      <c r="K3" s="7" t="s">
        <v>69</v>
      </c>
      <c r="L3" s="7" t="s">
        <v>75</v>
      </c>
      <c r="M3" s="9" t="n">
        <v>44575</v>
      </c>
      <c r="N3" s="10" t="n">
        <v>749.97</v>
      </c>
      <c r="O3" s="9" t="n">
        <f aca="false">EOMONTH(B3,0)</f>
        <v>45412</v>
      </c>
      <c r="P3" s="7" t="n">
        <f aca="true">DATEDIF(B3,TODAY(),"m")</f>
        <v>29</v>
      </c>
      <c r="Q3" s="7" t="n">
        <f aca="false">IF(K3=Analysis!$B$16,COUNTIF($K$2:K3,Analysis!$B$16),"")</f>
        <v>2</v>
      </c>
      <c r="R3" s="7" t="n">
        <f aca="false">IFERROR(DATEDIF(M3,B3,"m"),"")</f>
        <v>27</v>
      </c>
    </row>
    <row r="4" customFormat="false" ht="15" hidden="false" customHeight="false" outlineLevel="0" collapsed="false">
      <c r="A4" s="7" t="s">
        <v>76</v>
      </c>
      <c r="B4" s="9" t="n">
        <v>45399</v>
      </c>
      <c r="C4" s="7" t="s">
        <v>77</v>
      </c>
      <c r="D4" s="7" t="s">
        <v>78</v>
      </c>
      <c r="E4" s="7" t="s">
        <v>79</v>
      </c>
      <c r="F4" s="7" t="s">
        <v>80</v>
      </c>
      <c r="G4" s="7" t="s">
        <v>81</v>
      </c>
      <c r="H4" s="7" t="n">
        <v>3</v>
      </c>
      <c r="I4" s="10" t="n">
        <v>59.99</v>
      </c>
      <c r="J4" s="7" t="s">
        <v>82</v>
      </c>
      <c r="K4" s="7" t="s">
        <v>83</v>
      </c>
      <c r="L4" s="7" t="s">
        <v>84</v>
      </c>
      <c r="M4" s="9" t="n">
        <v>45262</v>
      </c>
      <c r="N4" s="10" t="n">
        <v>179.97</v>
      </c>
      <c r="O4" s="9" t="n">
        <f aca="false">EOMONTH(B4,0)</f>
        <v>45412</v>
      </c>
      <c r="P4" s="7" t="n">
        <f aca="true">DATEDIF(B4,TODAY(),"m")</f>
        <v>29</v>
      </c>
      <c r="Q4" s="7" t="str">
        <f aca="false">IF(K4=Analysis!$B$16,COUNTIF($K$2:K4,Analysis!$B$16),"")</f>
        <v/>
      </c>
      <c r="R4" s="7" t="n">
        <f aca="false">IFERROR(DATEDIF(M4,B4,"m"),"")</f>
        <v>4</v>
      </c>
    </row>
    <row r="5" customFormat="false" ht="15" hidden="false" customHeight="false" outlineLevel="0" collapsed="false">
      <c r="A5" s="7" t="s">
        <v>85</v>
      </c>
      <c r="B5" s="9" t="n">
        <v>45400</v>
      </c>
      <c r="C5" s="7" t="s">
        <v>86</v>
      </c>
      <c r="D5" s="7" t="s">
        <v>87</v>
      </c>
      <c r="E5" s="7" t="s">
        <v>79</v>
      </c>
      <c r="F5" s="7" t="s">
        <v>80</v>
      </c>
      <c r="G5" s="7" t="s">
        <v>81</v>
      </c>
      <c r="H5" s="7" t="n">
        <v>3</v>
      </c>
      <c r="I5" s="10" t="n">
        <v>59.99</v>
      </c>
      <c r="J5" s="7" t="s">
        <v>68</v>
      </c>
      <c r="K5" s="7" t="s">
        <v>88</v>
      </c>
      <c r="L5" s="7" t="s">
        <v>75</v>
      </c>
      <c r="M5" s="9" t="n">
        <v>45114</v>
      </c>
      <c r="N5" s="10" t="n">
        <v>179.97</v>
      </c>
      <c r="O5" s="9" t="n">
        <f aca="false">EOMONTH(B5,0)</f>
        <v>45412</v>
      </c>
      <c r="P5" s="7" t="n">
        <f aca="true">DATEDIF(B5,TODAY(),"m")</f>
        <v>29</v>
      </c>
      <c r="Q5" s="7" t="str">
        <f aca="false">IF(K5=Analysis!$B$16,COUNTIF($K$2:K5,Analysis!$B$16),"")</f>
        <v/>
      </c>
      <c r="R5" s="7" t="n">
        <f aca="false">IFERROR(DATEDIF(M5,B5,"m"),"")</f>
        <v>9</v>
      </c>
    </row>
    <row r="6" customFormat="false" ht="15" hidden="false" customHeight="false" outlineLevel="0" collapsed="false">
      <c r="A6" s="7" t="s">
        <v>89</v>
      </c>
      <c r="B6" s="9" t="n">
        <v>45400</v>
      </c>
      <c r="C6" s="7" t="s">
        <v>90</v>
      </c>
      <c r="D6" s="7" t="s">
        <v>91</v>
      </c>
      <c r="E6" s="7" t="s">
        <v>92</v>
      </c>
      <c r="F6" s="7" t="s">
        <v>93</v>
      </c>
      <c r="G6" s="7" t="s">
        <v>94</v>
      </c>
      <c r="H6" s="7" t="n">
        <v>5</v>
      </c>
      <c r="I6" s="10" t="n">
        <v>149.99</v>
      </c>
      <c r="J6" s="7" t="s">
        <v>74</v>
      </c>
      <c r="K6" s="7" t="s">
        <v>88</v>
      </c>
      <c r="L6" s="7" t="s">
        <v>75</v>
      </c>
      <c r="M6" s="9" t="n">
        <v>45295</v>
      </c>
      <c r="N6" s="10" t="n">
        <v>749.95</v>
      </c>
      <c r="O6" s="9" t="n">
        <f aca="false">EOMONTH(B6,0)</f>
        <v>45412</v>
      </c>
      <c r="P6" s="7" t="n">
        <f aca="true">DATEDIF(B6,TODAY(),"m")</f>
        <v>29</v>
      </c>
      <c r="Q6" s="7" t="str">
        <f aca="false">IF(K6=Analysis!$B$16,COUNTIF($K$2:K6,Analysis!$B$16),"")</f>
        <v/>
      </c>
      <c r="R6" s="7" t="n">
        <f aca="false">IFERROR(DATEDIF(M6,B6,"m"),"")</f>
        <v>3</v>
      </c>
    </row>
    <row r="7" customFormat="false" ht="15" hidden="false" customHeight="false" outlineLevel="0" collapsed="false">
      <c r="A7" s="7" t="s">
        <v>95</v>
      </c>
      <c r="B7" s="9" t="n">
        <v>45403</v>
      </c>
      <c r="C7" s="7" t="s">
        <v>96</v>
      </c>
      <c r="D7" s="7" t="s">
        <v>97</v>
      </c>
      <c r="E7" s="7" t="s">
        <v>79</v>
      </c>
      <c r="F7" s="7" t="s">
        <v>80</v>
      </c>
      <c r="G7" s="7" t="s">
        <v>81</v>
      </c>
      <c r="H7" s="7" t="n">
        <v>2</v>
      </c>
      <c r="I7" s="10" t="n">
        <v>59.99</v>
      </c>
      <c r="J7" s="7" t="s">
        <v>68</v>
      </c>
      <c r="K7" s="7" t="s">
        <v>98</v>
      </c>
      <c r="L7" s="7" t="s">
        <v>84</v>
      </c>
      <c r="M7" s="9" t="n">
        <v>44746</v>
      </c>
      <c r="N7" s="10" t="n">
        <v>119.98</v>
      </c>
      <c r="O7" s="9" t="n">
        <f aca="false">EOMONTH(B7,0)</f>
        <v>45412</v>
      </c>
      <c r="P7" s="7" t="n">
        <f aca="true">DATEDIF(B7,TODAY(),"m")</f>
        <v>29</v>
      </c>
      <c r="Q7" s="7" t="str">
        <f aca="false">IF(K7=Analysis!$B$16,COUNTIF($K$2:K7,Analysis!$B$16),"")</f>
        <v/>
      </c>
      <c r="R7" s="7" t="n">
        <f aca="false">IFERROR(DATEDIF(M7,B7,"m"),"")</f>
        <v>21</v>
      </c>
    </row>
    <row r="8" customFormat="false" ht="15" hidden="false" customHeight="false" outlineLevel="0" collapsed="false">
      <c r="A8" s="7" t="s">
        <v>99</v>
      </c>
      <c r="B8" s="9" t="n">
        <v>45403</v>
      </c>
      <c r="C8" s="7" t="s">
        <v>96</v>
      </c>
      <c r="D8" s="7" t="s">
        <v>97</v>
      </c>
      <c r="E8" s="7" t="s">
        <v>100</v>
      </c>
      <c r="F8" s="7" t="s">
        <v>101</v>
      </c>
      <c r="G8" s="7" t="s">
        <v>67</v>
      </c>
      <c r="H8" s="7" t="n">
        <v>5</v>
      </c>
      <c r="I8" s="10" t="n">
        <v>149.99</v>
      </c>
      <c r="J8" s="7" t="s">
        <v>74</v>
      </c>
      <c r="K8" s="7" t="s">
        <v>69</v>
      </c>
      <c r="L8" s="7" t="s">
        <v>84</v>
      </c>
      <c r="M8" s="9" t="n">
        <v>44418</v>
      </c>
      <c r="N8" s="10" t="n">
        <v>749.95</v>
      </c>
      <c r="O8" s="9" t="n">
        <f aca="false">EOMONTH(B8,0)</f>
        <v>45412</v>
      </c>
      <c r="P8" s="7" t="n">
        <f aca="true">DATEDIF(B8,TODAY(),"m")</f>
        <v>29</v>
      </c>
      <c r="Q8" s="7" t="n">
        <f aca="false">IF(K8=Analysis!$B$16,COUNTIF($K$2:K8,Analysis!$B$16),"")</f>
        <v>3</v>
      </c>
      <c r="R8" s="7" t="n">
        <f aca="false">IFERROR(DATEDIF(M8,B8,"m"),"")</f>
        <v>32</v>
      </c>
    </row>
    <row r="9" customFormat="false" ht="15" hidden="false" customHeight="false" outlineLevel="0" collapsed="false">
      <c r="A9" s="7" t="s">
        <v>102</v>
      </c>
      <c r="B9" s="9" t="n">
        <v>45403</v>
      </c>
      <c r="C9" s="7" t="s">
        <v>103</v>
      </c>
      <c r="D9" s="7" t="s">
        <v>104</v>
      </c>
      <c r="E9" s="7" t="s">
        <v>79</v>
      </c>
      <c r="F9" s="7" t="s">
        <v>80</v>
      </c>
      <c r="G9" s="7" t="s">
        <v>81</v>
      </c>
      <c r="H9" s="7" t="n">
        <v>3</v>
      </c>
      <c r="I9" s="10" t="n">
        <v>59.99</v>
      </c>
      <c r="J9" s="7" t="s">
        <v>105</v>
      </c>
      <c r="K9" s="7" t="s">
        <v>83</v>
      </c>
      <c r="L9" s="7" t="s">
        <v>70</v>
      </c>
      <c r="M9" s="9" t="n">
        <v>45007</v>
      </c>
      <c r="N9" s="10" t="n">
        <v>179.97</v>
      </c>
      <c r="O9" s="9" t="n">
        <f aca="false">EOMONTH(B9,0)</f>
        <v>45412</v>
      </c>
      <c r="P9" s="7" t="n">
        <f aca="true">DATEDIF(B9,TODAY(),"m")</f>
        <v>29</v>
      </c>
      <c r="Q9" s="7" t="str">
        <f aca="false">IF(K9=Analysis!$B$16,COUNTIF($K$2:K9,Analysis!$B$16),"")</f>
        <v/>
      </c>
      <c r="R9" s="7" t="n">
        <f aca="false">IFERROR(DATEDIF(M9,B9,"m"),"")</f>
        <v>12</v>
      </c>
    </row>
    <row r="10" customFormat="false" ht="15" hidden="false" customHeight="false" outlineLevel="0" collapsed="false">
      <c r="A10" s="7" t="s">
        <v>106</v>
      </c>
      <c r="B10" s="9" t="n">
        <v>45405</v>
      </c>
      <c r="C10" s="7" t="s">
        <v>107</v>
      </c>
      <c r="D10" s="7" t="s">
        <v>108</v>
      </c>
      <c r="E10" s="7" t="s">
        <v>109</v>
      </c>
      <c r="F10" s="7" t="s">
        <v>110</v>
      </c>
      <c r="G10" s="7" t="s">
        <v>67</v>
      </c>
      <c r="H10" s="7" t="n">
        <v>3</v>
      </c>
      <c r="I10" s="10" t="n">
        <v>899.99</v>
      </c>
      <c r="J10" s="7" t="s">
        <v>82</v>
      </c>
      <c r="K10" s="7" t="s">
        <v>111</v>
      </c>
      <c r="L10" s="7" t="s">
        <v>84</v>
      </c>
      <c r="M10" s="9" t="n">
        <v>45299</v>
      </c>
      <c r="N10" s="10" t="n">
        <v>2699.97</v>
      </c>
      <c r="O10" s="9" t="n">
        <f aca="false">EOMONTH(B10,0)</f>
        <v>45412</v>
      </c>
      <c r="P10" s="7" t="n">
        <f aca="true">DATEDIF(B10,TODAY(),"m")</f>
        <v>29</v>
      </c>
      <c r="Q10" s="7" t="str">
        <f aca="false">IF(K10=Analysis!$B$16,COUNTIF($K$2:K10,Analysis!$B$16),"")</f>
        <v/>
      </c>
      <c r="R10" s="7" t="n">
        <f aca="false">IFERROR(DATEDIF(M10,B10,"m"),"")</f>
        <v>3</v>
      </c>
    </row>
    <row r="11" customFormat="false" ht="15" hidden="false" customHeight="false" outlineLevel="0" collapsed="false">
      <c r="A11" s="7" t="s">
        <v>112</v>
      </c>
      <c r="B11" s="9" t="n">
        <v>45408</v>
      </c>
      <c r="C11" s="7" t="s">
        <v>113</v>
      </c>
      <c r="D11" s="7" t="s">
        <v>114</v>
      </c>
      <c r="E11" s="7" t="s">
        <v>92</v>
      </c>
      <c r="F11" s="7" t="s">
        <v>93</v>
      </c>
      <c r="G11" s="7" t="s">
        <v>94</v>
      </c>
      <c r="H11" s="7" t="n">
        <v>1</v>
      </c>
      <c r="I11" s="10" t="n">
        <v>149.99</v>
      </c>
      <c r="J11" s="7" t="s">
        <v>74</v>
      </c>
      <c r="K11" s="7" t="s">
        <v>98</v>
      </c>
      <c r="L11" s="7" t="s">
        <v>84</v>
      </c>
      <c r="M11" s="9" t="n">
        <v>45103</v>
      </c>
      <c r="N11" s="10" t="n">
        <v>149.99</v>
      </c>
      <c r="O11" s="9" t="n">
        <f aca="false">EOMONTH(B11,0)</f>
        <v>45412</v>
      </c>
      <c r="P11" s="7" t="n">
        <f aca="true">DATEDIF(B11,TODAY(),"m")</f>
        <v>29</v>
      </c>
      <c r="Q11" s="7" t="str">
        <f aca="false">IF(K11=Analysis!$B$16,COUNTIF($K$2:K11,Analysis!$B$16),"")</f>
        <v/>
      </c>
      <c r="R11" s="7" t="n">
        <f aca="false">IFERROR(DATEDIF(M11,B11,"m"),"")</f>
        <v>10</v>
      </c>
    </row>
    <row r="12" customFormat="false" ht="15" hidden="false" customHeight="false" outlineLevel="0" collapsed="false">
      <c r="A12" s="7" t="s">
        <v>115</v>
      </c>
      <c r="B12" s="9" t="n">
        <v>45408</v>
      </c>
      <c r="C12" s="7" t="s">
        <v>116</v>
      </c>
      <c r="D12" s="7" t="s">
        <v>117</v>
      </c>
      <c r="E12" s="7" t="s">
        <v>79</v>
      </c>
      <c r="F12" s="7" t="s">
        <v>80</v>
      </c>
      <c r="G12" s="7" t="s">
        <v>81</v>
      </c>
      <c r="H12" s="7" t="n">
        <v>3</v>
      </c>
      <c r="I12" s="10" t="n">
        <v>59.99</v>
      </c>
      <c r="J12" s="7" t="s">
        <v>68</v>
      </c>
      <c r="K12" s="7" t="s">
        <v>98</v>
      </c>
      <c r="L12" s="7" t="s">
        <v>75</v>
      </c>
      <c r="M12" s="9" t="n">
        <v>45207</v>
      </c>
      <c r="N12" s="10" t="n">
        <v>179.97</v>
      </c>
      <c r="O12" s="9" t="n">
        <f aca="false">EOMONTH(B12,0)</f>
        <v>45412</v>
      </c>
      <c r="P12" s="7" t="n">
        <f aca="true">DATEDIF(B12,TODAY(),"m")</f>
        <v>29</v>
      </c>
      <c r="Q12" s="7" t="str">
        <f aca="false">IF(K12=Analysis!$B$16,COUNTIF($K$2:K12,Analysis!$B$16),"")</f>
        <v/>
      </c>
      <c r="R12" s="7" t="n">
        <f aca="false">IFERROR(DATEDIF(M12,B12,"m"),"")</f>
        <v>6</v>
      </c>
    </row>
    <row r="13" customFormat="false" ht="15" hidden="false" customHeight="false" outlineLevel="0" collapsed="false">
      <c r="A13" s="7" t="s">
        <v>118</v>
      </c>
      <c r="B13" s="9" t="n">
        <v>45408</v>
      </c>
      <c r="C13" s="7" t="s">
        <v>86</v>
      </c>
      <c r="D13" s="7" t="s">
        <v>87</v>
      </c>
      <c r="E13" s="7" t="s">
        <v>92</v>
      </c>
      <c r="F13" s="7" t="s">
        <v>93</v>
      </c>
      <c r="G13" s="7" t="s">
        <v>94</v>
      </c>
      <c r="H13" s="7" t="n">
        <v>5</v>
      </c>
      <c r="I13" s="10" t="n">
        <v>149.99</v>
      </c>
      <c r="J13" s="7" t="s">
        <v>105</v>
      </c>
      <c r="K13" s="7" t="s">
        <v>88</v>
      </c>
      <c r="L13" s="7" t="s">
        <v>70</v>
      </c>
      <c r="M13" s="9" t="n">
        <v>44830</v>
      </c>
      <c r="N13" s="10" t="n">
        <v>749.95</v>
      </c>
      <c r="O13" s="9" t="n">
        <f aca="false">EOMONTH(B13,0)</f>
        <v>45412</v>
      </c>
      <c r="P13" s="7" t="n">
        <f aca="true">DATEDIF(B13,TODAY(),"m")</f>
        <v>29</v>
      </c>
      <c r="Q13" s="7" t="str">
        <f aca="false">IF(K13=Analysis!$B$16,COUNTIF($K$2:K13,Analysis!$B$16),"")</f>
        <v/>
      </c>
      <c r="R13" s="7" t="n">
        <f aca="false">IFERROR(DATEDIF(M13,B13,"m"),"")</f>
        <v>19</v>
      </c>
    </row>
    <row r="14" customFormat="false" ht="15" hidden="false" customHeight="false" outlineLevel="0" collapsed="false">
      <c r="A14" s="7" t="s">
        <v>119</v>
      </c>
      <c r="B14" s="9" t="n">
        <v>45408</v>
      </c>
      <c r="C14" s="7" t="s">
        <v>120</v>
      </c>
      <c r="D14" s="7" t="s">
        <v>121</v>
      </c>
      <c r="E14" s="7" t="s">
        <v>92</v>
      </c>
      <c r="F14" s="7" t="s">
        <v>93</v>
      </c>
      <c r="G14" s="7" t="s">
        <v>94</v>
      </c>
      <c r="H14" s="7" t="n">
        <v>3</v>
      </c>
      <c r="I14" s="10" t="n">
        <v>149.99</v>
      </c>
      <c r="J14" s="7" t="s">
        <v>68</v>
      </c>
      <c r="K14" s="7" t="s">
        <v>88</v>
      </c>
      <c r="L14" s="7" t="s">
        <v>75</v>
      </c>
      <c r="M14" s="9" t="n">
        <v>44806</v>
      </c>
      <c r="N14" s="10" t="n">
        <v>449.97</v>
      </c>
      <c r="O14" s="9" t="n">
        <f aca="false">EOMONTH(B14,0)</f>
        <v>45412</v>
      </c>
      <c r="P14" s="7" t="n">
        <f aca="true">DATEDIF(B14,TODAY(),"m")</f>
        <v>29</v>
      </c>
      <c r="Q14" s="7" t="str">
        <f aca="false">IF(K14=Analysis!$B$16,COUNTIF($K$2:K14,Analysis!$B$16),"")</f>
        <v/>
      </c>
      <c r="R14" s="7" t="n">
        <f aca="false">IFERROR(DATEDIF(M14,B14,"m"),"")</f>
        <v>19</v>
      </c>
    </row>
    <row r="15" customFormat="false" ht="15" hidden="false" customHeight="false" outlineLevel="0" collapsed="false">
      <c r="A15" s="7" t="s">
        <v>122</v>
      </c>
      <c r="B15" s="9" t="n">
        <v>45409</v>
      </c>
      <c r="C15" s="7" t="s">
        <v>123</v>
      </c>
      <c r="D15" s="7" t="s">
        <v>124</v>
      </c>
      <c r="E15" s="7" t="s">
        <v>79</v>
      </c>
      <c r="F15" s="7" t="s">
        <v>80</v>
      </c>
      <c r="G15" s="7" t="s">
        <v>81</v>
      </c>
      <c r="H15" s="7" t="n">
        <v>3</v>
      </c>
      <c r="I15" s="10" t="n">
        <v>59.99</v>
      </c>
      <c r="J15" s="7" t="s">
        <v>74</v>
      </c>
      <c r="K15" s="7" t="s">
        <v>88</v>
      </c>
      <c r="L15" s="7" t="s">
        <v>84</v>
      </c>
      <c r="M15" s="9" t="n">
        <v>45351</v>
      </c>
      <c r="N15" s="10" t="n">
        <v>179.97</v>
      </c>
      <c r="O15" s="9" t="n">
        <f aca="false">EOMONTH(B15,0)</f>
        <v>45412</v>
      </c>
      <c r="P15" s="7" t="n">
        <f aca="true">DATEDIF(B15,TODAY(),"m")</f>
        <v>29</v>
      </c>
      <c r="Q15" s="7" t="str">
        <f aca="false">IF(K15=Analysis!$B$16,COUNTIF($K$2:K15,Analysis!$B$16),"")</f>
        <v/>
      </c>
      <c r="R15" s="7" t="n">
        <f aca="false">IFERROR(DATEDIF(M15,B15,"m"),"")</f>
        <v>1</v>
      </c>
    </row>
    <row r="16" customFormat="false" ht="15" hidden="false" customHeight="false" outlineLevel="0" collapsed="false">
      <c r="A16" s="7" t="s">
        <v>125</v>
      </c>
      <c r="B16" s="9" t="n">
        <v>45409</v>
      </c>
      <c r="C16" s="7" t="s">
        <v>126</v>
      </c>
      <c r="D16" s="7" t="s">
        <v>127</v>
      </c>
      <c r="E16" s="7" t="s">
        <v>128</v>
      </c>
      <c r="F16" s="7" t="s">
        <v>129</v>
      </c>
      <c r="G16" s="7" t="s">
        <v>67</v>
      </c>
      <c r="H16" s="7" t="n">
        <v>3</v>
      </c>
      <c r="I16" s="10" t="n">
        <v>699.99</v>
      </c>
      <c r="J16" s="7" t="s">
        <v>74</v>
      </c>
      <c r="K16" s="7" t="s">
        <v>98</v>
      </c>
      <c r="L16" s="7" t="s">
        <v>70</v>
      </c>
      <c r="M16" s="9" t="n">
        <v>44577</v>
      </c>
      <c r="N16" s="10" t="n">
        <v>2099.97</v>
      </c>
      <c r="O16" s="9" t="n">
        <f aca="false">EOMONTH(B16,0)</f>
        <v>45412</v>
      </c>
      <c r="P16" s="7" t="n">
        <f aca="true">DATEDIF(B16,TODAY(),"m")</f>
        <v>29</v>
      </c>
      <c r="Q16" s="7" t="str">
        <f aca="false">IF(K16=Analysis!$B$16,COUNTIF($K$2:K16,Analysis!$B$16),"")</f>
        <v/>
      </c>
      <c r="R16" s="7" t="n">
        <f aca="false">IFERROR(DATEDIF(M16,B16,"m"),"")</f>
        <v>27</v>
      </c>
    </row>
    <row r="17" customFormat="false" ht="15" hidden="false" customHeight="false" outlineLevel="0" collapsed="false">
      <c r="A17" s="7" t="s">
        <v>130</v>
      </c>
      <c r="B17" s="9" t="n">
        <v>45409</v>
      </c>
      <c r="C17" s="7" t="s">
        <v>131</v>
      </c>
      <c r="D17" s="7" t="s">
        <v>132</v>
      </c>
      <c r="E17" s="7" t="s">
        <v>109</v>
      </c>
      <c r="F17" s="7" t="s">
        <v>110</v>
      </c>
      <c r="G17" s="7" t="s">
        <v>67</v>
      </c>
      <c r="H17" s="7" t="n">
        <v>1</v>
      </c>
      <c r="I17" s="10" t="n">
        <v>899.99</v>
      </c>
      <c r="J17" s="7" t="s">
        <v>105</v>
      </c>
      <c r="K17" s="7" t="s">
        <v>88</v>
      </c>
      <c r="L17" s="7" t="s">
        <v>84</v>
      </c>
      <c r="M17" s="9" t="n">
        <v>44920</v>
      </c>
      <c r="N17" s="10" t="n">
        <v>899.99</v>
      </c>
      <c r="O17" s="9" t="n">
        <f aca="false">EOMONTH(B17,0)</f>
        <v>45412</v>
      </c>
      <c r="P17" s="7" t="n">
        <f aca="true">DATEDIF(B17,TODAY(),"m")</f>
        <v>29</v>
      </c>
      <c r="Q17" s="7" t="str">
        <f aca="false">IF(K17=Analysis!$B$16,COUNTIF($K$2:K17,Analysis!$B$16),"")</f>
        <v/>
      </c>
      <c r="R17" s="7" t="n">
        <f aca="false">IFERROR(DATEDIF(M17,B17,"m"),"")</f>
        <v>16</v>
      </c>
    </row>
    <row r="18" customFormat="false" ht="15" hidden="false" customHeight="false" outlineLevel="0" collapsed="false">
      <c r="A18" s="7" t="s">
        <v>133</v>
      </c>
      <c r="B18" s="9" t="n">
        <v>45410</v>
      </c>
      <c r="C18" s="7" t="s">
        <v>134</v>
      </c>
      <c r="D18" s="7" t="s">
        <v>135</v>
      </c>
      <c r="E18" s="7" t="s">
        <v>92</v>
      </c>
      <c r="F18" s="7" t="s">
        <v>93</v>
      </c>
      <c r="G18" s="7" t="s">
        <v>94</v>
      </c>
      <c r="H18" s="7" t="n">
        <v>4</v>
      </c>
      <c r="I18" s="10" t="n">
        <v>149.99</v>
      </c>
      <c r="J18" s="7" t="s">
        <v>105</v>
      </c>
      <c r="K18" s="7" t="s">
        <v>88</v>
      </c>
      <c r="L18" s="7" t="s">
        <v>75</v>
      </c>
      <c r="M18" s="9" t="n">
        <v>45374</v>
      </c>
      <c r="N18" s="10" t="n">
        <v>599.96</v>
      </c>
      <c r="O18" s="9" t="n">
        <f aca="false">EOMONTH(B18,0)</f>
        <v>45412</v>
      </c>
      <c r="P18" s="7" t="n">
        <f aca="true">DATEDIF(B18,TODAY(),"m")</f>
        <v>29</v>
      </c>
      <c r="Q18" s="7" t="str">
        <f aca="false">IF(K18=Analysis!$B$16,COUNTIF($K$2:K18,Analysis!$B$16),"")</f>
        <v/>
      </c>
      <c r="R18" s="7" t="n">
        <f aca="false">IFERROR(DATEDIF(M18,B18,"m"),"")</f>
        <v>1</v>
      </c>
    </row>
    <row r="19" customFormat="false" ht="15" hidden="false" customHeight="false" outlineLevel="0" collapsed="false">
      <c r="A19" s="7" t="s">
        <v>136</v>
      </c>
      <c r="B19" s="9" t="n">
        <v>45410</v>
      </c>
      <c r="C19" s="7" t="s">
        <v>134</v>
      </c>
      <c r="D19" s="7" t="s">
        <v>135</v>
      </c>
      <c r="E19" s="7" t="s">
        <v>109</v>
      </c>
      <c r="F19" s="7" t="s">
        <v>110</v>
      </c>
      <c r="G19" s="7" t="s">
        <v>67</v>
      </c>
      <c r="H19" s="7" t="n">
        <v>4</v>
      </c>
      <c r="I19" s="10" t="n">
        <v>899.99</v>
      </c>
      <c r="J19" s="7" t="s">
        <v>74</v>
      </c>
      <c r="K19" s="7" t="s">
        <v>98</v>
      </c>
      <c r="L19" s="7" t="s">
        <v>84</v>
      </c>
      <c r="M19" s="9" t="n">
        <v>45327</v>
      </c>
      <c r="N19" s="10" t="n">
        <v>3599.96</v>
      </c>
      <c r="O19" s="9" t="n">
        <f aca="false">EOMONTH(B19,0)</f>
        <v>45412</v>
      </c>
      <c r="P19" s="7" t="n">
        <f aca="true">DATEDIF(B19,TODAY(),"m")</f>
        <v>29</v>
      </c>
      <c r="Q19" s="7" t="str">
        <f aca="false">IF(K19=Analysis!$B$16,COUNTIF($K$2:K19,Analysis!$B$16),"")</f>
        <v/>
      </c>
      <c r="R19" s="7" t="n">
        <f aca="false">IFERROR(DATEDIF(M19,B19,"m"),"")</f>
        <v>2</v>
      </c>
    </row>
    <row r="20" customFormat="false" ht="15" hidden="false" customHeight="false" outlineLevel="0" collapsed="false">
      <c r="A20" s="7" t="s">
        <v>137</v>
      </c>
      <c r="B20" s="9" t="n">
        <v>45410</v>
      </c>
      <c r="C20" s="7" t="s">
        <v>138</v>
      </c>
      <c r="D20" s="7" t="s">
        <v>139</v>
      </c>
      <c r="E20" s="7" t="s">
        <v>128</v>
      </c>
      <c r="F20" s="7" t="s">
        <v>129</v>
      </c>
      <c r="G20" s="7" t="s">
        <v>67</v>
      </c>
      <c r="H20" s="7" t="n">
        <v>2</v>
      </c>
      <c r="I20" s="10" t="n">
        <v>699.99</v>
      </c>
      <c r="J20" s="7" t="s">
        <v>68</v>
      </c>
      <c r="K20" s="7" t="s">
        <v>88</v>
      </c>
      <c r="L20" s="7" t="s">
        <v>70</v>
      </c>
      <c r="M20" s="9" t="n">
        <v>44781</v>
      </c>
      <c r="N20" s="10" t="n">
        <v>1399.98</v>
      </c>
      <c r="O20" s="9" t="n">
        <f aca="false">EOMONTH(B20,0)</f>
        <v>45412</v>
      </c>
      <c r="P20" s="7" t="n">
        <f aca="true">DATEDIF(B20,TODAY(),"m")</f>
        <v>29</v>
      </c>
      <c r="Q20" s="7" t="str">
        <f aca="false">IF(K20=Analysis!$B$16,COUNTIF($K$2:K20,Analysis!$B$16),"")</f>
        <v/>
      </c>
      <c r="R20" s="7" t="n">
        <f aca="false">IFERROR(DATEDIF(M20,B20,"m"),"")</f>
        <v>20</v>
      </c>
    </row>
    <row r="21" customFormat="false" ht="15" hidden="false" customHeight="false" outlineLevel="0" collapsed="false">
      <c r="A21" s="7" t="s">
        <v>140</v>
      </c>
      <c r="B21" s="9" t="n">
        <v>45410</v>
      </c>
      <c r="C21" s="7" t="s">
        <v>141</v>
      </c>
      <c r="D21" s="7" t="s">
        <v>142</v>
      </c>
      <c r="E21" s="7" t="s">
        <v>65</v>
      </c>
      <c r="F21" s="7" t="s">
        <v>66</v>
      </c>
      <c r="G21" s="7" t="s">
        <v>67</v>
      </c>
      <c r="H21" s="7" t="n">
        <v>3</v>
      </c>
      <c r="I21" s="10" t="n">
        <v>249.99</v>
      </c>
      <c r="J21" s="7" t="s">
        <v>74</v>
      </c>
      <c r="K21" s="7" t="s">
        <v>88</v>
      </c>
      <c r="L21" s="7" t="s">
        <v>75</v>
      </c>
      <c r="M21" s="9" t="n">
        <v>45224</v>
      </c>
      <c r="N21" s="10" t="n">
        <v>749.97</v>
      </c>
      <c r="O21" s="9" t="n">
        <f aca="false">EOMONTH(B21,0)</f>
        <v>45412</v>
      </c>
      <c r="P21" s="7" t="n">
        <f aca="true">DATEDIF(B21,TODAY(),"m")</f>
        <v>29</v>
      </c>
      <c r="Q21" s="7" t="str">
        <f aca="false">IF(K21=Analysis!$B$16,COUNTIF($K$2:K21,Analysis!$B$16),"")</f>
        <v/>
      </c>
      <c r="R21" s="7" t="n">
        <f aca="false">IFERROR(DATEDIF(M21,B21,"m"),"")</f>
        <v>6</v>
      </c>
    </row>
    <row r="22" customFormat="false" ht="15" hidden="false" customHeight="false" outlineLevel="0" collapsed="false">
      <c r="A22" s="7" t="s">
        <v>143</v>
      </c>
      <c r="B22" s="9" t="n">
        <v>45412</v>
      </c>
      <c r="C22" s="7" t="s">
        <v>144</v>
      </c>
      <c r="D22" s="7" t="s">
        <v>145</v>
      </c>
      <c r="E22" s="7" t="s">
        <v>128</v>
      </c>
      <c r="F22" s="7" t="s">
        <v>129</v>
      </c>
      <c r="G22" s="7" t="s">
        <v>67</v>
      </c>
      <c r="H22" s="7" t="n">
        <v>5</v>
      </c>
      <c r="I22" s="10" t="n">
        <v>699.99</v>
      </c>
      <c r="J22" s="7" t="s">
        <v>68</v>
      </c>
      <c r="K22" s="7" t="s">
        <v>98</v>
      </c>
      <c r="L22" s="7" t="s">
        <v>70</v>
      </c>
      <c r="M22" s="9" t="n">
        <v>45167</v>
      </c>
      <c r="N22" s="10" t="n">
        <v>3499.95</v>
      </c>
      <c r="O22" s="9" t="n">
        <f aca="false">EOMONTH(B22,0)</f>
        <v>45412</v>
      </c>
      <c r="P22" s="7" t="n">
        <f aca="true">DATEDIF(B22,TODAY(),"m")</f>
        <v>29</v>
      </c>
      <c r="Q22" s="7" t="str">
        <f aca="false">IF(K22=Analysis!$B$16,COUNTIF($K$2:K22,Analysis!$B$16),"")</f>
        <v/>
      </c>
      <c r="R22" s="7" t="n">
        <f aca="false">IFERROR(DATEDIF(M22,B22,"m"),"")</f>
        <v>8</v>
      </c>
    </row>
    <row r="23" customFormat="false" ht="15" hidden="false" customHeight="false" outlineLevel="0" collapsed="false">
      <c r="A23" s="7" t="s">
        <v>146</v>
      </c>
      <c r="B23" s="9" t="n">
        <v>45413</v>
      </c>
      <c r="C23" s="7" t="s">
        <v>147</v>
      </c>
      <c r="D23" s="7" t="s">
        <v>148</v>
      </c>
      <c r="E23" s="7" t="s">
        <v>128</v>
      </c>
      <c r="F23" s="7" t="s">
        <v>129</v>
      </c>
      <c r="G23" s="7" t="s">
        <v>67</v>
      </c>
      <c r="H23" s="7" t="n">
        <v>4</v>
      </c>
      <c r="I23" s="10" t="n">
        <v>699.99</v>
      </c>
      <c r="J23" s="7" t="s">
        <v>68</v>
      </c>
      <c r="K23" s="7" t="s">
        <v>111</v>
      </c>
      <c r="L23" s="7" t="s">
        <v>84</v>
      </c>
      <c r="M23" s="9" t="n">
        <v>44409</v>
      </c>
      <c r="N23" s="10" t="n">
        <v>2799.96</v>
      </c>
      <c r="O23" s="9" t="n">
        <f aca="false">EOMONTH(B23,0)</f>
        <v>45443</v>
      </c>
      <c r="P23" s="7" t="n">
        <f aca="true">DATEDIF(B23,TODAY(),"m")</f>
        <v>29</v>
      </c>
      <c r="Q23" s="7" t="str">
        <f aca="false">IF(K23=Analysis!$B$16,COUNTIF($K$2:K23,Analysis!$B$16),"")</f>
        <v/>
      </c>
      <c r="R23" s="7" t="n">
        <f aca="false">IFERROR(DATEDIF(M23,B23,"m"),"")</f>
        <v>33</v>
      </c>
    </row>
    <row r="24" customFormat="false" ht="15" hidden="false" customHeight="false" outlineLevel="0" collapsed="false">
      <c r="A24" s="7" t="s">
        <v>149</v>
      </c>
      <c r="B24" s="9" t="n">
        <v>45415</v>
      </c>
      <c r="C24" s="7" t="s">
        <v>150</v>
      </c>
      <c r="D24" s="7" t="s">
        <v>151</v>
      </c>
      <c r="E24" s="7" t="s">
        <v>65</v>
      </c>
      <c r="F24" s="7" t="s">
        <v>66</v>
      </c>
      <c r="G24" s="7" t="s">
        <v>67</v>
      </c>
      <c r="H24" s="7" t="n">
        <v>4</v>
      </c>
      <c r="I24" s="10" t="n">
        <v>249.99</v>
      </c>
      <c r="J24" s="7" t="s">
        <v>82</v>
      </c>
      <c r="K24" s="7" t="s">
        <v>88</v>
      </c>
      <c r="L24" s="7" t="s">
        <v>84</v>
      </c>
      <c r="M24" s="9" t="n">
        <v>44468</v>
      </c>
      <c r="N24" s="10" t="n">
        <v>999.96</v>
      </c>
      <c r="O24" s="9" t="n">
        <f aca="false">EOMONTH(B24,0)</f>
        <v>45443</v>
      </c>
      <c r="P24" s="7" t="n">
        <f aca="true">DATEDIF(B24,TODAY(),"m")</f>
        <v>29</v>
      </c>
      <c r="Q24" s="7" t="str">
        <f aca="false">IF(K24=Analysis!$B$16,COUNTIF($K$2:K24,Analysis!$B$16),"")</f>
        <v/>
      </c>
      <c r="R24" s="7" t="n">
        <f aca="false">IFERROR(DATEDIF(M24,B24,"m"),"")</f>
        <v>31</v>
      </c>
    </row>
    <row r="25" customFormat="false" ht="15" hidden="false" customHeight="false" outlineLevel="0" collapsed="false">
      <c r="A25" s="7" t="s">
        <v>152</v>
      </c>
      <c r="B25" s="9" t="n">
        <v>45416</v>
      </c>
      <c r="C25" s="7" t="s">
        <v>134</v>
      </c>
      <c r="D25" s="7" t="s">
        <v>135</v>
      </c>
      <c r="E25" s="7" t="s">
        <v>153</v>
      </c>
      <c r="F25" s="7" t="s">
        <v>154</v>
      </c>
      <c r="G25" s="7" t="s">
        <v>94</v>
      </c>
      <c r="H25" s="7" t="n">
        <v>4</v>
      </c>
      <c r="I25" s="10" t="n">
        <v>299.99</v>
      </c>
      <c r="J25" s="7" t="s">
        <v>68</v>
      </c>
      <c r="K25" s="7" t="s">
        <v>98</v>
      </c>
      <c r="L25" s="7" t="s">
        <v>75</v>
      </c>
      <c r="M25" s="9" t="n">
        <v>44716</v>
      </c>
      <c r="N25" s="10" t="n">
        <v>1199.96</v>
      </c>
      <c r="O25" s="9" t="n">
        <f aca="false">EOMONTH(B25,0)</f>
        <v>45443</v>
      </c>
      <c r="P25" s="7" t="n">
        <f aca="true">DATEDIF(B25,TODAY(),"m")</f>
        <v>29</v>
      </c>
      <c r="Q25" s="7" t="str">
        <f aca="false">IF(K25=Analysis!$B$16,COUNTIF($K$2:K25,Analysis!$B$16),"")</f>
        <v/>
      </c>
      <c r="R25" s="7" t="n">
        <f aca="false">IFERROR(DATEDIF(M25,B25,"m"),"")</f>
        <v>23</v>
      </c>
    </row>
    <row r="26" customFormat="false" ht="15" hidden="false" customHeight="false" outlineLevel="0" collapsed="false">
      <c r="A26" s="7" t="s">
        <v>155</v>
      </c>
      <c r="B26" s="9" t="n">
        <v>45422</v>
      </c>
      <c r="C26" s="7" t="s">
        <v>156</v>
      </c>
      <c r="D26" s="7" t="s">
        <v>157</v>
      </c>
      <c r="E26" s="7" t="s">
        <v>65</v>
      </c>
      <c r="F26" s="7" t="s">
        <v>66</v>
      </c>
      <c r="G26" s="7" t="s">
        <v>67</v>
      </c>
      <c r="H26" s="7" t="n">
        <v>5</v>
      </c>
      <c r="I26" s="10" t="n">
        <v>249.99</v>
      </c>
      <c r="J26" s="7" t="s">
        <v>74</v>
      </c>
      <c r="K26" s="7" t="s">
        <v>98</v>
      </c>
      <c r="L26" s="7" t="s">
        <v>84</v>
      </c>
      <c r="M26" s="9" t="n">
        <v>44525</v>
      </c>
      <c r="N26" s="10" t="n">
        <v>1249.95</v>
      </c>
      <c r="O26" s="9" t="n">
        <f aca="false">EOMONTH(B26,0)</f>
        <v>45443</v>
      </c>
      <c r="P26" s="7" t="n">
        <f aca="true">DATEDIF(B26,TODAY(),"m")</f>
        <v>29</v>
      </c>
      <c r="Q26" s="7" t="str">
        <f aca="false">IF(K26=Analysis!$B$16,COUNTIF($K$2:K26,Analysis!$B$16),"")</f>
        <v/>
      </c>
      <c r="R26" s="7" t="n">
        <f aca="false">IFERROR(DATEDIF(M26,B26,"m"),"")</f>
        <v>29</v>
      </c>
    </row>
    <row r="27" customFormat="false" ht="15" hidden="false" customHeight="false" outlineLevel="0" collapsed="false">
      <c r="A27" s="7" t="s">
        <v>158</v>
      </c>
      <c r="B27" s="9" t="n">
        <v>45424</v>
      </c>
      <c r="C27" s="7" t="s">
        <v>147</v>
      </c>
      <c r="D27" s="7" t="s">
        <v>148</v>
      </c>
      <c r="E27" s="7" t="s">
        <v>159</v>
      </c>
      <c r="F27" s="7" t="s">
        <v>160</v>
      </c>
      <c r="G27" s="7" t="s">
        <v>67</v>
      </c>
      <c r="H27" s="7" t="n">
        <v>5</v>
      </c>
      <c r="I27" s="10" t="n">
        <v>89.99</v>
      </c>
      <c r="J27" s="7" t="s">
        <v>68</v>
      </c>
      <c r="K27" s="7" t="s">
        <v>88</v>
      </c>
      <c r="L27" s="7" t="s">
        <v>75</v>
      </c>
      <c r="M27" s="9" t="n">
        <v>44919</v>
      </c>
      <c r="N27" s="10" t="n">
        <v>449.95</v>
      </c>
      <c r="O27" s="9" t="n">
        <f aca="false">EOMONTH(B27,0)</f>
        <v>45443</v>
      </c>
      <c r="P27" s="7" t="n">
        <f aca="true">DATEDIF(B27,TODAY(),"m")</f>
        <v>29</v>
      </c>
      <c r="Q27" s="7" t="str">
        <f aca="false">IF(K27=Analysis!$B$16,COUNTIF($K$2:K27,Analysis!$B$16),"")</f>
        <v/>
      </c>
      <c r="R27" s="7" t="n">
        <f aca="false">IFERROR(DATEDIF(M27,B27,"m"),"")</f>
        <v>16</v>
      </c>
    </row>
    <row r="28" customFormat="false" ht="15" hidden="false" customHeight="false" outlineLevel="0" collapsed="false">
      <c r="A28" s="7" t="s">
        <v>161</v>
      </c>
      <c r="B28" s="9" t="n">
        <v>45424</v>
      </c>
      <c r="C28" s="7" t="s">
        <v>113</v>
      </c>
      <c r="D28" s="7" t="s">
        <v>114</v>
      </c>
      <c r="E28" s="7" t="s">
        <v>153</v>
      </c>
      <c r="F28" s="7" t="s">
        <v>154</v>
      </c>
      <c r="G28" s="7" t="s">
        <v>94</v>
      </c>
      <c r="H28" s="7" t="n">
        <v>5</v>
      </c>
      <c r="I28" s="10" t="n">
        <v>299.99</v>
      </c>
      <c r="J28" s="7" t="s">
        <v>82</v>
      </c>
      <c r="K28" s="7" t="s">
        <v>111</v>
      </c>
      <c r="L28" s="7" t="s">
        <v>70</v>
      </c>
      <c r="M28" s="9" t="n">
        <v>45168</v>
      </c>
      <c r="N28" s="10" t="n">
        <v>1499.95</v>
      </c>
      <c r="O28" s="9" t="n">
        <f aca="false">EOMONTH(B28,0)</f>
        <v>45443</v>
      </c>
      <c r="P28" s="7" t="n">
        <f aca="true">DATEDIF(B28,TODAY(),"m")</f>
        <v>29</v>
      </c>
      <c r="Q28" s="7" t="str">
        <f aca="false">IF(K28=Analysis!$B$16,COUNTIF($K$2:K28,Analysis!$B$16),"")</f>
        <v/>
      </c>
      <c r="R28" s="7" t="n">
        <f aca="false">IFERROR(DATEDIF(M28,B28,"m"),"")</f>
        <v>8</v>
      </c>
    </row>
    <row r="29" customFormat="false" ht="15" hidden="false" customHeight="false" outlineLevel="0" collapsed="false">
      <c r="A29" s="7" t="s">
        <v>162</v>
      </c>
      <c r="B29" s="9" t="n">
        <v>45424</v>
      </c>
      <c r="C29" s="7" t="s">
        <v>163</v>
      </c>
      <c r="D29" s="7" t="s">
        <v>164</v>
      </c>
      <c r="E29" s="7" t="s">
        <v>165</v>
      </c>
      <c r="F29" s="7" t="s">
        <v>166</v>
      </c>
      <c r="G29" s="7" t="s">
        <v>81</v>
      </c>
      <c r="H29" s="7" t="n">
        <v>3</v>
      </c>
      <c r="I29" s="10" t="n">
        <v>79.99</v>
      </c>
      <c r="J29" s="7" t="s">
        <v>82</v>
      </c>
      <c r="K29" s="7" t="s">
        <v>111</v>
      </c>
      <c r="L29" s="7" t="s">
        <v>75</v>
      </c>
      <c r="M29" s="9" t="n">
        <v>45012</v>
      </c>
      <c r="N29" s="10" t="n">
        <v>239.97</v>
      </c>
      <c r="O29" s="9" t="n">
        <f aca="false">EOMONTH(B29,0)</f>
        <v>45443</v>
      </c>
      <c r="P29" s="7" t="n">
        <f aca="true">DATEDIF(B29,TODAY(),"m")</f>
        <v>29</v>
      </c>
      <c r="Q29" s="7" t="str">
        <f aca="false">IF(K29=Analysis!$B$16,COUNTIF($K$2:K29,Analysis!$B$16),"")</f>
        <v/>
      </c>
      <c r="R29" s="7" t="n">
        <f aca="false">IFERROR(DATEDIF(M29,B29,"m"),"")</f>
        <v>13</v>
      </c>
    </row>
    <row r="30" customFormat="false" ht="15" hidden="false" customHeight="false" outlineLevel="0" collapsed="false">
      <c r="A30" s="7" t="s">
        <v>167</v>
      </c>
      <c r="B30" s="9" t="n">
        <v>45425</v>
      </c>
      <c r="C30" s="7" t="s">
        <v>168</v>
      </c>
      <c r="D30" s="7" t="s">
        <v>169</v>
      </c>
      <c r="E30" s="7" t="s">
        <v>79</v>
      </c>
      <c r="F30" s="7" t="s">
        <v>80</v>
      </c>
      <c r="G30" s="7" t="s">
        <v>81</v>
      </c>
      <c r="H30" s="7" t="n">
        <v>2</v>
      </c>
      <c r="I30" s="10" t="n">
        <v>59.99</v>
      </c>
      <c r="J30" s="7" t="s">
        <v>105</v>
      </c>
      <c r="K30" s="7" t="s">
        <v>69</v>
      </c>
      <c r="L30" s="7" t="s">
        <v>84</v>
      </c>
      <c r="M30" s="9" t="n">
        <v>45214</v>
      </c>
      <c r="N30" s="10" t="n">
        <v>119.98</v>
      </c>
      <c r="O30" s="9" t="n">
        <f aca="false">EOMONTH(B30,0)</f>
        <v>45443</v>
      </c>
      <c r="P30" s="7" t="n">
        <f aca="true">DATEDIF(B30,TODAY(),"m")</f>
        <v>28</v>
      </c>
      <c r="Q30" s="7" t="n">
        <f aca="false">IF(K30=Analysis!$B$16,COUNTIF($K$2:K30,Analysis!$B$16),"")</f>
        <v>4</v>
      </c>
      <c r="R30" s="7" t="n">
        <f aca="false">IFERROR(DATEDIF(M30,B30,"m"),"")</f>
        <v>6</v>
      </c>
    </row>
    <row r="31" customFormat="false" ht="15" hidden="false" customHeight="false" outlineLevel="0" collapsed="false">
      <c r="A31" s="7" t="s">
        <v>170</v>
      </c>
      <c r="B31" s="9" t="n">
        <v>45427</v>
      </c>
      <c r="C31" s="7" t="s">
        <v>103</v>
      </c>
      <c r="D31" s="7" t="s">
        <v>104</v>
      </c>
      <c r="E31" s="7" t="s">
        <v>171</v>
      </c>
      <c r="F31" s="7" t="s">
        <v>172</v>
      </c>
      <c r="G31" s="7" t="s">
        <v>94</v>
      </c>
      <c r="H31" s="7" t="n">
        <v>5</v>
      </c>
      <c r="I31" s="10" t="n">
        <v>199.99</v>
      </c>
      <c r="J31" s="7" t="s">
        <v>68</v>
      </c>
      <c r="K31" s="7" t="s">
        <v>83</v>
      </c>
      <c r="L31" s="7" t="s">
        <v>84</v>
      </c>
      <c r="M31" s="9" t="n">
        <v>44412</v>
      </c>
      <c r="N31" s="10" t="n">
        <v>999.95</v>
      </c>
      <c r="O31" s="9" t="n">
        <f aca="false">EOMONTH(B31,0)</f>
        <v>45443</v>
      </c>
      <c r="P31" s="7" t="n">
        <f aca="true">DATEDIF(B31,TODAY(),"m")</f>
        <v>28</v>
      </c>
      <c r="Q31" s="7" t="str">
        <f aca="false">IF(K31=Analysis!$B$16,COUNTIF($K$2:K31,Analysis!$B$16),"")</f>
        <v/>
      </c>
      <c r="R31" s="7" t="n">
        <f aca="false">IFERROR(DATEDIF(M31,B31,"m"),"")</f>
        <v>33</v>
      </c>
    </row>
    <row r="32" customFormat="false" ht="15" hidden="false" customHeight="false" outlineLevel="0" collapsed="false">
      <c r="A32" s="7" t="s">
        <v>173</v>
      </c>
      <c r="B32" s="9" t="n">
        <v>45427</v>
      </c>
      <c r="C32" s="7" t="s">
        <v>174</v>
      </c>
      <c r="D32" s="7" t="s">
        <v>175</v>
      </c>
      <c r="E32" s="7" t="s">
        <v>79</v>
      </c>
      <c r="F32" s="7" t="s">
        <v>80</v>
      </c>
      <c r="G32" s="7" t="s">
        <v>81</v>
      </c>
      <c r="H32" s="7" t="n">
        <v>4</v>
      </c>
      <c r="I32" s="10" t="n">
        <v>59.99</v>
      </c>
      <c r="J32" s="7" t="s">
        <v>105</v>
      </c>
      <c r="K32" s="7" t="s">
        <v>111</v>
      </c>
      <c r="L32" s="7" t="s">
        <v>84</v>
      </c>
      <c r="M32" s="9" t="n">
        <v>44867</v>
      </c>
      <c r="N32" s="10" t="n">
        <v>239.96</v>
      </c>
      <c r="O32" s="9" t="n">
        <f aca="false">EOMONTH(B32,0)</f>
        <v>45443</v>
      </c>
      <c r="P32" s="7" t="n">
        <f aca="true">DATEDIF(B32,TODAY(),"m")</f>
        <v>28</v>
      </c>
      <c r="Q32" s="7" t="str">
        <f aca="false">IF(K32=Analysis!$B$16,COUNTIF($K$2:K32,Analysis!$B$16),"")</f>
        <v/>
      </c>
      <c r="R32" s="7" t="n">
        <f aca="false">IFERROR(DATEDIF(M32,B32,"m"),"")</f>
        <v>18</v>
      </c>
    </row>
    <row r="33" customFormat="false" ht="15" hidden="false" customHeight="false" outlineLevel="0" collapsed="false">
      <c r="A33" s="7" t="s">
        <v>176</v>
      </c>
      <c r="B33" s="9" t="n">
        <v>45428</v>
      </c>
      <c r="C33" s="7" t="s">
        <v>177</v>
      </c>
      <c r="D33" s="7" t="s">
        <v>178</v>
      </c>
      <c r="E33" s="7" t="s">
        <v>92</v>
      </c>
      <c r="F33" s="7" t="s">
        <v>93</v>
      </c>
      <c r="G33" s="7" t="s">
        <v>94</v>
      </c>
      <c r="H33" s="7" t="n">
        <v>2</v>
      </c>
      <c r="I33" s="10" t="n">
        <v>149.99</v>
      </c>
      <c r="J33" s="7" t="s">
        <v>74</v>
      </c>
      <c r="K33" s="7" t="s">
        <v>98</v>
      </c>
      <c r="L33" s="7" t="s">
        <v>70</v>
      </c>
      <c r="M33" s="9" t="n">
        <v>44823</v>
      </c>
      <c r="N33" s="10" t="n">
        <v>299.98</v>
      </c>
      <c r="O33" s="9" t="n">
        <f aca="false">EOMONTH(B33,0)</f>
        <v>45443</v>
      </c>
      <c r="P33" s="7" t="n">
        <f aca="true">DATEDIF(B33,TODAY(),"m")</f>
        <v>28</v>
      </c>
      <c r="Q33" s="7" t="str">
        <f aca="false">IF(K33=Analysis!$B$16,COUNTIF($K$2:K33,Analysis!$B$16),"")</f>
        <v/>
      </c>
      <c r="R33" s="7" t="n">
        <f aca="false">IFERROR(DATEDIF(M33,B33,"m"),"")</f>
        <v>19</v>
      </c>
    </row>
    <row r="34" customFormat="false" ht="15" hidden="false" customHeight="false" outlineLevel="0" collapsed="false">
      <c r="A34" s="7" t="s">
        <v>179</v>
      </c>
      <c r="B34" s="9" t="n">
        <v>45430</v>
      </c>
      <c r="C34" s="7" t="s">
        <v>180</v>
      </c>
      <c r="D34" s="7" t="s">
        <v>181</v>
      </c>
      <c r="E34" s="7" t="s">
        <v>92</v>
      </c>
      <c r="F34" s="7" t="s">
        <v>93</v>
      </c>
      <c r="G34" s="7" t="s">
        <v>94</v>
      </c>
      <c r="H34" s="7" t="n">
        <v>3</v>
      </c>
      <c r="I34" s="10" t="n">
        <v>149.99</v>
      </c>
      <c r="J34" s="7" t="s">
        <v>74</v>
      </c>
      <c r="K34" s="7" t="s">
        <v>98</v>
      </c>
      <c r="L34" s="7" t="s">
        <v>75</v>
      </c>
      <c r="M34" s="9" t="n">
        <v>45068</v>
      </c>
      <c r="N34" s="10" t="n">
        <v>449.97</v>
      </c>
      <c r="O34" s="9" t="n">
        <f aca="false">EOMONTH(B34,0)</f>
        <v>45443</v>
      </c>
      <c r="P34" s="7" t="n">
        <f aca="true">DATEDIF(B34,TODAY(),"m")</f>
        <v>28</v>
      </c>
      <c r="Q34" s="7" t="str">
        <f aca="false">IF(K34=Analysis!$B$16,COUNTIF($K$2:K34,Analysis!$B$16),"")</f>
        <v/>
      </c>
      <c r="R34" s="7" t="n">
        <f aca="false">IFERROR(DATEDIF(M34,B34,"m"),"")</f>
        <v>11</v>
      </c>
    </row>
    <row r="35" customFormat="false" ht="15" hidden="false" customHeight="false" outlineLevel="0" collapsed="false">
      <c r="A35" s="7" t="s">
        <v>182</v>
      </c>
      <c r="B35" s="9" t="n">
        <v>45432</v>
      </c>
      <c r="C35" s="7" t="s">
        <v>77</v>
      </c>
      <c r="D35" s="7" t="s">
        <v>78</v>
      </c>
      <c r="E35" s="7" t="s">
        <v>109</v>
      </c>
      <c r="F35" s="7" t="s">
        <v>110</v>
      </c>
      <c r="G35" s="7" t="s">
        <v>67</v>
      </c>
      <c r="H35" s="7" t="n">
        <v>1</v>
      </c>
      <c r="I35" s="10" t="n">
        <v>899.99</v>
      </c>
      <c r="J35" s="7" t="s">
        <v>74</v>
      </c>
      <c r="K35" s="7" t="s">
        <v>98</v>
      </c>
      <c r="L35" s="7" t="s">
        <v>75</v>
      </c>
      <c r="M35" s="9" t="n">
        <v>44578</v>
      </c>
      <c r="N35" s="10" t="n">
        <v>899.99</v>
      </c>
      <c r="O35" s="9" t="n">
        <f aca="false">EOMONTH(B35,0)</f>
        <v>45443</v>
      </c>
      <c r="P35" s="7" t="n">
        <f aca="true">DATEDIF(B35,TODAY(),"m")</f>
        <v>28</v>
      </c>
      <c r="Q35" s="7" t="str">
        <f aca="false">IF(K35=Analysis!$B$16,COUNTIF($K$2:K35,Analysis!$B$16),"")</f>
        <v/>
      </c>
      <c r="R35" s="7" t="n">
        <f aca="false">IFERROR(DATEDIF(M35,B35,"m"),"")</f>
        <v>28</v>
      </c>
    </row>
    <row r="36" customFormat="false" ht="15" hidden="false" customHeight="false" outlineLevel="0" collapsed="false">
      <c r="A36" s="7" t="s">
        <v>183</v>
      </c>
      <c r="B36" s="9" t="n">
        <v>45434</v>
      </c>
      <c r="C36" s="7" t="s">
        <v>147</v>
      </c>
      <c r="D36" s="7" t="s">
        <v>148</v>
      </c>
      <c r="E36" s="7" t="s">
        <v>153</v>
      </c>
      <c r="F36" s="7" t="s">
        <v>154</v>
      </c>
      <c r="G36" s="7" t="s">
        <v>94</v>
      </c>
      <c r="H36" s="7" t="n">
        <v>3</v>
      </c>
      <c r="I36" s="10" t="n">
        <v>299.99</v>
      </c>
      <c r="J36" s="7" t="s">
        <v>74</v>
      </c>
      <c r="K36" s="7" t="s">
        <v>111</v>
      </c>
      <c r="L36" s="7" t="s">
        <v>70</v>
      </c>
      <c r="M36" s="9" t="n">
        <v>44824</v>
      </c>
      <c r="N36" s="10" t="n">
        <v>899.97</v>
      </c>
      <c r="O36" s="9" t="n">
        <f aca="false">EOMONTH(B36,0)</f>
        <v>45443</v>
      </c>
      <c r="P36" s="7" t="n">
        <f aca="true">DATEDIF(B36,TODAY(),"m")</f>
        <v>28</v>
      </c>
      <c r="Q36" s="7" t="str">
        <f aca="false">IF(K36=Analysis!$B$16,COUNTIF($K$2:K36,Analysis!$B$16),"")</f>
        <v/>
      </c>
      <c r="R36" s="7" t="n">
        <f aca="false">IFERROR(DATEDIF(M36,B36,"m"),"")</f>
        <v>20</v>
      </c>
    </row>
    <row r="37" customFormat="false" ht="15" hidden="false" customHeight="false" outlineLevel="0" collapsed="false">
      <c r="A37" s="7" t="s">
        <v>184</v>
      </c>
      <c r="B37" s="9" t="n">
        <v>45435</v>
      </c>
      <c r="C37" s="7" t="s">
        <v>177</v>
      </c>
      <c r="D37" s="7" t="s">
        <v>178</v>
      </c>
      <c r="E37" s="7" t="s">
        <v>165</v>
      </c>
      <c r="F37" s="7" t="s">
        <v>166</v>
      </c>
      <c r="G37" s="7" t="s">
        <v>81</v>
      </c>
      <c r="H37" s="7" t="n">
        <v>3</v>
      </c>
      <c r="I37" s="10" t="n">
        <v>79.99</v>
      </c>
      <c r="J37" s="7" t="s">
        <v>68</v>
      </c>
      <c r="K37" s="7" t="s">
        <v>83</v>
      </c>
      <c r="L37" s="7" t="s">
        <v>70</v>
      </c>
      <c r="M37" s="9" t="n">
        <v>45046</v>
      </c>
      <c r="N37" s="10" t="n">
        <v>239.97</v>
      </c>
      <c r="O37" s="9" t="n">
        <f aca="false">EOMONTH(B37,0)</f>
        <v>45443</v>
      </c>
      <c r="P37" s="7" t="n">
        <f aca="true">DATEDIF(B37,TODAY(),"m")</f>
        <v>28</v>
      </c>
      <c r="Q37" s="7" t="str">
        <f aca="false">IF(K37=Analysis!$B$16,COUNTIF($K$2:K37,Analysis!$B$16),"")</f>
        <v/>
      </c>
      <c r="R37" s="7" t="n">
        <f aca="false">IFERROR(DATEDIF(M37,B37,"m"),"")</f>
        <v>12</v>
      </c>
    </row>
    <row r="38" customFormat="false" ht="15" hidden="false" customHeight="false" outlineLevel="0" collapsed="false">
      <c r="A38" s="7" t="s">
        <v>185</v>
      </c>
      <c r="B38" s="9" t="n">
        <v>45438</v>
      </c>
      <c r="C38" s="7" t="s">
        <v>186</v>
      </c>
      <c r="D38" s="7" t="s">
        <v>187</v>
      </c>
      <c r="E38" s="7" t="s">
        <v>171</v>
      </c>
      <c r="F38" s="7" t="s">
        <v>172</v>
      </c>
      <c r="G38" s="7" t="s">
        <v>94</v>
      </c>
      <c r="H38" s="7" t="n">
        <v>3</v>
      </c>
      <c r="I38" s="10" t="n">
        <v>199.99</v>
      </c>
      <c r="J38" s="7" t="s">
        <v>74</v>
      </c>
      <c r="K38" s="7" t="s">
        <v>88</v>
      </c>
      <c r="L38" s="7" t="s">
        <v>75</v>
      </c>
      <c r="M38" s="9" t="n">
        <v>45292</v>
      </c>
      <c r="N38" s="10" t="n">
        <v>599.97</v>
      </c>
      <c r="O38" s="9" t="n">
        <f aca="false">EOMONTH(B38,0)</f>
        <v>45443</v>
      </c>
      <c r="P38" s="7" t="n">
        <f aca="true">DATEDIF(B38,TODAY(),"m")</f>
        <v>28</v>
      </c>
      <c r="Q38" s="7" t="str">
        <f aca="false">IF(K38=Analysis!$B$16,COUNTIF($K$2:K38,Analysis!$B$16),"")</f>
        <v/>
      </c>
      <c r="R38" s="7" t="n">
        <f aca="false">IFERROR(DATEDIF(M38,B38,"m"),"")</f>
        <v>4</v>
      </c>
    </row>
    <row r="39" customFormat="false" ht="15" hidden="false" customHeight="false" outlineLevel="0" collapsed="false">
      <c r="A39" s="7" t="s">
        <v>188</v>
      </c>
      <c r="B39" s="9" t="n">
        <v>45440</v>
      </c>
      <c r="C39" s="7" t="s">
        <v>189</v>
      </c>
      <c r="D39" s="7" t="s">
        <v>190</v>
      </c>
      <c r="E39" s="7" t="s">
        <v>128</v>
      </c>
      <c r="F39" s="7" t="s">
        <v>129</v>
      </c>
      <c r="G39" s="7" t="s">
        <v>67</v>
      </c>
      <c r="H39" s="7" t="n">
        <v>5</v>
      </c>
      <c r="I39" s="10" t="n">
        <v>699.99</v>
      </c>
      <c r="J39" s="7" t="s">
        <v>82</v>
      </c>
      <c r="K39" s="7" t="s">
        <v>98</v>
      </c>
      <c r="L39" s="7" t="s">
        <v>84</v>
      </c>
      <c r="M39" s="9" t="n">
        <v>44407</v>
      </c>
      <c r="N39" s="10" t="n">
        <v>3499.95</v>
      </c>
      <c r="O39" s="9" t="n">
        <f aca="false">EOMONTH(B39,0)</f>
        <v>45443</v>
      </c>
      <c r="P39" s="7" t="n">
        <f aca="true">DATEDIF(B39,TODAY(),"m")</f>
        <v>28</v>
      </c>
      <c r="Q39" s="7" t="str">
        <f aca="false">IF(K39=Analysis!$B$16,COUNTIF($K$2:K39,Analysis!$B$16),"")</f>
        <v/>
      </c>
      <c r="R39" s="7" t="n">
        <f aca="false">IFERROR(DATEDIF(M39,B39,"m"),"")</f>
        <v>33</v>
      </c>
    </row>
    <row r="40" customFormat="false" ht="15" hidden="false" customHeight="false" outlineLevel="0" collapsed="false">
      <c r="A40" s="7" t="s">
        <v>191</v>
      </c>
      <c r="B40" s="9" t="n">
        <v>45441</v>
      </c>
      <c r="C40" s="7" t="s">
        <v>192</v>
      </c>
      <c r="D40" s="7" t="s">
        <v>193</v>
      </c>
      <c r="E40" s="7" t="s">
        <v>159</v>
      </c>
      <c r="F40" s="7" t="s">
        <v>160</v>
      </c>
      <c r="G40" s="7" t="s">
        <v>67</v>
      </c>
      <c r="H40" s="7" t="n">
        <v>3</v>
      </c>
      <c r="I40" s="10" t="n">
        <v>89.99</v>
      </c>
      <c r="J40" s="7" t="s">
        <v>82</v>
      </c>
      <c r="K40" s="7" t="s">
        <v>69</v>
      </c>
      <c r="L40" s="7" t="s">
        <v>75</v>
      </c>
      <c r="M40" s="9" t="n">
        <v>45120</v>
      </c>
      <c r="N40" s="10" t="n">
        <v>269.97</v>
      </c>
      <c r="O40" s="9" t="n">
        <f aca="false">EOMONTH(B40,0)</f>
        <v>45443</v>
      </c>
      <c r="P40" s="7" t="n">
        <f aca="true">DATEDIF(B40,TODAY(),"m")</f>
        <v>28</v>
      </c>
      <c r="Q40" s="7" t="n">
        <f aca="false">IF(K40=Analysis!$B$16,COUNTIF($K$2:K40,Analysis!$B$16),"")</f>
        <v>5</v>
      </c>
      <c r="R40" s="7" t="n">
        <f aca="false">IFERROR(DATEDIF(M40,B40,"m"),"")</f>
        <v>10</v>
      </c>
    </row>
    <row r="41" customFormat="false" ht="15" hidden="false" customHeight="false" outlineLevel="0" collapsed="false">
      <c r="A41" s="7" t="s">
        <v>194</v>
      </c>
      <c r="B41" s="9" t="n">
        <v>45443</v>
      </c>
      <c r="C41" s="7" t="s">
        <v>195</v>
      </c>
      <c r="D41" s="7" t="s">
        <v>196</v>
      </c>
      <c r="E41" s="7" t="s">
        <v>165</v>
      </c>
      <c r="F41" s="7" t="s">
        <v>166</v>
      </c>
      <c r="G41" s="7" t="s">
        <v>81</v>
      </c>
      <c r="H41" s="7" t="n">
        <v>1</v>
      </c>
      <c r="I41" s="10" t="n">
        <v>79.99</v>
      </c>
      <c r="J41" s="7" t="s">
        <v>68</v>
      </c>
      <c r="K41" s="7" t="s">
        <v>88</v>
      </c>
      <c r="L41" s="7" t="s">
        <v>84</v>
      </c>
      <c r="M41" s="9" t="n">
        <v>44917</v>
      </c>
      <c r="N41" s="10" t="n">
        <v>79.99</v>
      </c>
      <c r="O41" s="9" t="n">
        <f aca="false">EOMONTH(B41,0)</f>
        <v>45443</v>
      </c>
      <c r="P41" s="7" t="n">
        <f aca="true">DATEDIF(B41,TODAY(),"m")</f>
        <v>28</v>
      </c>
      <c r="Q41" s="7" t="str">
        <f aca="false">IF(K41=Analysis!$B$16,COUNTIF($K$2:K41,Analysis!$B$16),"")</f>
        <v/>
      </c>
      <c r="R41" s="7" t="n">
        <f aca="false">IFERROR(DATEDIF(M41,B41,"m"),"")</f>
        <v>17</v>
      </c>
    </row>
    <row r="42" customFormat="false" ht="15" hidden="false" customHeight="false" outlineLevel="0" collapsed="false">
      <c r="A42" s="7" t="s">
        <v>197</v>
      </c>
      <c r="B42" s="9" t="n">
        <v>45444</v>
      </c>
      <c r="C42" s="7" t="s">
        <v>103</v>
      </c>
      <c r="D42" s="7" t="s">
        <v>104</v>
      </c>
      <c r="E42" s="7" t="s">
        <v>159</v>
      </c>
      <c r="F42" s="7" t="s">
        <v>160</v>
      </c>
      <c r="G42" s="7" t="s">
        <v>67</v>
      </c>
      <c r="H42" s="7" t="n">
        <v>1</v>
      </c>
      <c r="I42" s="10" t="n">
        <v>89.99</v>
      </c>
      <c r="J42" s="7" t="s">
        <v>68</v>
      </c>
      <c r="K42" s="7" t="s">
        <v>88</v>
      </c>
      <c r="L42" s="7" t="s">
        <v>70</v>
      </c>
      <c r="M42" s="9" t="n">
        <v>45141</v>
      </c>
      <c r="N42" s="10" t="n">
        <v>89.99</v>
      </c>
      <c r="O42" s="9" t="n">
        <f aca="false">EOMONTH(B42,0)</f>
        <v>45473</v>
      </c>
      <c r="P42" s="7" t="n">
        <f aca="true">DATEDIF(B42,TODAY(),"m")</f>
        <v>28</v>
      </c>
      <c r="Q42" s="7" t="str">
        <f aca="false">IF(K42=Analysis!$B$16,COUNTIF($K$2:K42,Analysis!$B$16),"")</f>
        <v/>
      </c>
      <c r="R42" s="7" t="n">
        <f aca="false">IFERROR(DATEDIF(M42,B42,"m"),"")</f>
        <v>9</v>
      </c>
    </row>
    <row r="43" customFormat="false" ht="15" hidden="false" customHeight="false" outlineLevel="0" collapsed="false">
      <c r="A43" s="7" t="s">
        <v>198</v>
      </c>
      <c r="B43" s="9" t="n">
        <v>45444</v>
      </c>
      <c r="C43" s="7" t="s">
        <v>199</v>
      </c>
      <c r="D43" s="7" t="s">
        <v>200</v>
      </c>
      <c r="E43" s="7" t="s">
        <v>79</v>
      </c>
      <c r="F43" s="7" t="s">
        <v>80</v>
      </c>
      <c r="G43" s="7" t="s">
        <v>81</v>
      </c>
      <c r="H43" s="7" t="n">
        <v>2</v>
      </c>
      <c r="I43" s="10" t="n">
        <v>59.99</v>
      </c>
      <c r="J43" s="7" t="s">
        <v>68</v>
      </c>
      <c r="K43" s="7" t="s">
        <v>98</v>
      </c>
      <c r="L43" s="7" t="s">
        <v>70</v>
      </c>
      <c r="M43" s="9" t="n">
        <v>45390</v>
      </c>
      <c r="N43" s="10" t="n">
        <v>119.98</v>
      </c>
      <c r="O43" s="9" t="n">
        <f aca="false">EOMONTH(B43,0)</f>
        <v>45473</v>
      </c>
      <c r="P43" s="7" t="n">
        <f aca="true">DATEDIF(B43,TODAY(),"m")</f>
        <v>28</v>
      </c>
      <c r="Q43" s="7" t="str">
        <f aca="false">IF(K43=Analysis!$B$16,COUNTIF($K$2:K43,Analysis!$B$16),"")</f>
        <v/>
      </c>
      <c r="R43" s="7" t="n">
        <f aca="false">IFERROR(DATEDIF(M43,B43,"m"),"")</f>
        <v>1</v>
      </c>
    </row>
    <row r="44" customFormat="false" ht="15" hidden="false" customHeight="false" outlineLevel="0" collapsed="false">
      <c r="A44" s="7" t="s">
        <v>201</v>
      </c>
      <c r="B44" s="9" t="n">
        <v>45446</v>
      </c>
      <c r="C44" s="7" t="s">
        <v>202</v>
      </c>
      <c r="D44" s="7" t="s">
        <v>203</v>
      </c>
      <c r="E44" s="7" t="s">
        <v>159</v>
      </c>
      <c r="F44" s="7" t="s">
        <v>160</v>
      </c>
      <c r="G44" s="7" t="s">
        <v>67</v>
      </c>
      <c r="H44" s="7" t="n">
        <v>5</v>
      </c>
      <c r="I44" s="10" t="n">
        <v>89.99</v>
      </c>
      <c r="J44" s="7" t="s">
        <v>74</v>
      </c>
      <c r="K44" s="7" t="s">
        <v>111</v>
      </c>
      <c r="L44" s="7" t="s">
        <v>84</v>
      </c>
      <c r="M44" s="9" t="n">
        <v>44587</v>
      </c>
      <c r="N44" s="10" t="n">
        <v>449.95</v>
      </c>
      <c r="O44" s="9" t="n">
        <f aca="false">EOMONTH(B44,0)</f>
        <v>45473</v>
      </c>
      <c r="P44" s="7" t="n">
        <f aca="true">DATEDIF(B44,TODAY(),"m")</f>
        <v>28</v>
      </c>
      <c r="Q44" s="7" t="str">
        <f aca="false">IF(K44=Analysis!$B$16,COUNTIF($K$2:K44,Analysis!$B$16),"")</f>
        <v/>
      </c>
      <c r="R44" s="7" t="n">
        <f aca="false">IFERROR(DATEDIF(M44,B44,"m"),"")</f>
        <v>28</v>
      </c>
    </row>
    <row r="45" customFormat="false" ht="15" hidden="false" customHeight="false" outlineLevel="0" collapsed="false">
      <c r="A45" s="7" t="s">
        <v>204</v>
      </c>
      <c r="B45" s="9" t="n">
        <v>45449</v>
      </c>
      <c r="C45" s="7" t="s">
        <v>205</v>
      </c>
      <c r="D45" s="7" t="s">
        <v>206</v>
      </c>
      <c r="E45" s="7" t="s">
        <v>159</v>
      </c>
      <c r="F45" s="7" t="s">
        <v>160</v>
      </c>
      <c r="G45" s="7" t="s">
        <v>67</v>
      </c>
      <c r="H45" s="7" t="n">
        <v>1</v>
      </c>
      <c r="I45" s="10" t="n">
        <v>89.99</v>
      </c>
      <c r="J45" s="7" t="s">
        <v>74</v>
      </c>
      <c r="K45" s="7" t="s">
        <v>83</v>
      </c>
      <c r="L45" s="7" t="s">
        <v>84</v>
      </c>
      <c r="M45" s="9" t="n">
        <v>44582</v>
      </c>
      <c r="N45" s="10" t="n">
        <v>89.99</v>
      </c>
      <c r="O45" s="9" t="n">
        <f aca="false">EOMONTH(B45,0)</f>
        <v>45473</v>
      </c>
      <c r="P45" s="7" t="n">
        <f aca="true">DATEDIF(B45,TODAY(),"m")</f>
        <v>28</v>
      </c>
      <c r="Q45" s="7" t="str">
        <f aca="false">IF(K45=Analysis!$B$16,COUNTIF($K$2:K45,Analysis!$B$16),"")</f>
        <v/>
      </c>
      <c r="R45" s="7" t="n">
        <f aca="false">IFERROR(DATEDIF(M45,B45,"m"),"")</f>
        <v>28</v>
      </c>
    </row>
    <row r="46" customFormat="false" ht="15" hidden="false" customHeight="false" outlineLevel="0" collapsed="false">
      <c r="A46" s="7" t="s">
        <v>207</v>
      </c>
      <c r="B46" s="9" t="n">
        <v>45449</v>
      </c>
      <c r="C46" s="7" t="s">
        <v>72</v>
      </c>
      <c r="D46" s="7" t="s">
        <v>73</v>
      </c>
      <c r="E46" s="7" t="s">
        <v>65</v>
      </c>
      <c r="F46" s="7" t="s">
        <v>66</v>
      </c>
      <c r="G46" s="7" t="s">
        <v>67</v>
      </c>
      <c r="H46" s="7" t="n">
        <v>5</v>
      </c>
      <c r="I46" s="10" t="n">
        <v>249.99</v>
      </c>
      <c r="J46" s="7" t="s">
        <v>74</v>
      </c>
      <c r="K46" s="7" t="s">
        <v>111</v>
      </c>
      <c r="L46" s="7" t="s">
        <v>84</v>
      </c>
      <c r="M46" s="9" t="n">
        <v>44707</v>
      </c>
      <c r="N46" s="10" t="n">
        <v>1249.95</v>
      </c>
      <c r="O46" s="9" t="n">
        <f aca="false">EOMONTH(B46,0)</f>
        <v>45473</v>
      </c>
      <c r="P46" s="7" t="n">
        <f aca="true">DATEDIF(B46,TODAY(),"m")</f>
        <v>28</v>
      </c>
      <c r="Q46" s="7" t="str">
        <f aca="false">IF(K46=Analysis!$B$16,COUNTIF($K$2:K46,Analysis!$B$16),"")</f>
        <v/>
      </c>
      <c r="R46" s="7" t="n">
        <f aca="false">IFERROR(DATEDIF(M46,B46,"m"),"")</f>
        <v>24</v>
      </c>
    </row>
    <row r="47" customFormat="false" ht="15" hidden="false" customHeight="false" outlineLevel="0" collapsed="false">
      <c r="A47" s="7" t="s">
        <v>208</v>
      </c>
      <c r="B47" s="9" t="n">
        <v>45450</v>
      </c>
      <c r="C47" s="7" t="s">
        <v>90</v>
      </c>
      <c r="D47" s="7" t="s">
        <v>91</v>
      </c>
      <c r="E47" s="7" t="s">
        <v>92</v>
      </c>
      <c r="F47" s="7" t="s">
        <v>93</v>
      </c>
      <c r="G47" s="7" t="s">
        <v>94</v>
      </c>
      <c r="H47" s="7" t="n">
        <v>2</v>
      </c>
      <c r="I47" s="10" t="n">
        <v>149.99</v>
      </c>
      <c r="J47" s="7" t="s">
        <v>68</v>
      </c>
      <c r="K47" s="7" t="s">
        <v>111</v>
      </c>
      <c r="L47" s="7" t="s">
        <v>75</v>
      </c>
      <c r="M47" s="9" t="n">
        <v>44645</v>
      </c>
      <c r="N47" s="10" t="n">
        <v>299.98</v>
      </c>
      <c r="O47" s="9" t="n">
        <f aca="false">EOMONTH(B47,0)</f>
        <v>45473</v>
      </c>
      <c r="P47" s="7" t="n">
        <f aca="true">DATEDIF(B47,TODAY(),"m")</f>
        <v>28</v>
      </c>
      <c r="Q47" s="7" t="str">
        <f aca="false">IF(K47=Analysis!$B$16,COUNTIF($K$2:K47,Analysis!$B$16),"")</f>
        <v/>
      </c>
      <c r="R47" s="7" t="n">
        <f aca="false">IFERROR(DATEDIF(M47,B47,"m"),"")</f>
        <v>26</v>
      </c>
    </row>
    <row r="48" customFormat="false" ht="15" hidden="false" customHeight="false" outlineLevel="0" collapsed="false">
      <c r="A48" s="7" t="s">
        <v>209</v>
      </c>
      <c r="B48" s="9" t="n">
        <v>45452</v>
      </c>
      <c r="C48" s="7" t="s">
        <v>210</v>
      </c>
      <c r="D48" s="7" t="s">
        <v>211</v>
      </c>
      <c r="E48" s="7" t="s">
        <v>79</v>
      </c>
      <c r="F48" s="7" t="s">
        <v>80</v>
      </c>
      <c r="G48" s="7" t="s">
        <v>81</v>
      </c>
      <c r="H48" s="7" t="n">
        <v>4</v>
      </c>
      <c r="I48" s="10" t="n">
        <v>59.99</v>
      </c>
      <c r="J48" s="7" t="s">
        <v>68</v>
      </c>
      <c r="K48" s="7" t="s">
        <v>111</v>
      </c>
      <c r="L48" s="7" t="s">
        <v>84</v>
      </c>
      <c r="M48" s="9" t="n">
        <v>44435</v>
      </c>
      <c r="N48" s="10" t="n">
        <v>239.96</v>
      </c>
      <c r="O48" s="9" t="n">
        <f aca="false">EOMONTH(B48,0)</f>
        <v>45473</v>
      </c>
      <c r="P48" s="7" t="n">
        <f aca="true">DATEDIF(B48,TODAY(),"m")</f>
        <v>28</v>
      </c>
      <c r="Q48" s="7" t="str">
        <f aca="false">IF(K48=Analysis!$B$16,COUNTIF($K$2:K48,Analysis!$B$16),"")</f>
        <v/>
      </c>
      <c r="R48" s="7" t="n">
        <f aca="false">IFERROR(DATEDIF(M48,B48,"m"),"")</f>
        <v>33</v>
      </c>
    </row>
    <row r="49" customFormat="false" ht="15" hidden="false" customHeight="false" outlineLevel="0" collapsed="false">
      <c r="A49" s="7" t="s">
        <v>212</v>
      </c>
      <c r="B49" s="9" t="n">
        <v>45456</v>
      </c>
      <c r="C49" s="7" t="s">
        <v>177</v>
      </c>
      <c r="D49" s="7" t="s">
        <v>178</v>
      </c>
      <c r="E49" s="7" t="s">
        <v>159</v>
      </c>
      <c r="F49" s="7" t="s">
        <v>160</v>
      </c>
      <c r="G49" s="7" t="s">
        <v>67</v>
      </c>
      <c r="H49" s="7" t="n">
        <v>5</v>
      </c>
      <c r="I49" s="10" t="n">
        <v>89.99</v>
      </c>
      <c r="J49" s="7" t="s">
        <v>68</v>
      </c>
      <c r="K49" s="7" t="s">
        <v>69</v>
      </c>
      <c r="L49" s="7" t="s">
        <v>75</v>
      </c>
      <c r="M49" s="9" t="n">
        <v>44579</v>
      </c>
      <c r="N49" s="10" t="n">
        <v>449.95</v>
      </c>
      <c r="O49" s="9" t="n">
        <f aca="false">EOMONTH(B49,0)</f>
        <v>45473</v>
      </c>
      <c r="P49" s="7" t="n">
        <f aca="true">DATEDIF(B49,TODAY(),"m")</f>
        <v>27</v>
      </c>
      <c r="Q49" s="7" t="n">
        <f aca="false">IF(K49=Analysis!$B$16,COUNTIF($K$2:K49,Analysis!$B$16),"")</f>
        <v>6</v>
      </c>
      <c r="R49" s="7" t="n">
        <f aca="false">IFERROR(DATEDIF(M49,B49,"m"),"")</f>
        <v>28</v>
      </c>
    </row>
    <row r="50" customFormat="false" ht="15" hidden="false" customHeight="false" outlineLevel="0" collapsed="false">
      <c r="A50" s="7" t="s">
        <v>213</v>
      </c>
      <c r="B50" s="9" t="n">
        <v>45459</v>
      </c>
      <c r="C50" s="7" t="s">
        <v>174</v>
      </c>
      <c r="D50" s="7" t="s">
        <v>175</v>
      </c>
      <c r="E50" s="7" t="s">
        <v>109</v>
      </c>
      <c r="F50" s="7" t="s">
        <v>110</v>
      </c>
      <c r="G50" s="7" t="s">
        <v>67</v>
      </c>
      <c r="H50" s="7" t="n">
        <v>5</v>
      </c>
      <c r="I50" s="10" t="n">
        <v>899.99</v>
      </c>
      <c r="J50" s="7" t="s">
        <v>82</v>
      </c>
      <c r="K50" s="7" t="s">
        <v>111</v>
      </c>
      <c r="L50" s="7" t="s">
        <v>75</v>
      </c>
      <c r="M50" s="9" t="n">
        <v>45278</v>
      </c>
      <c r="N50" s="10" t="n">
        <v>4499.95</v>
      </c>
      <c r="O50" s="9" t="n">
        <f aca="false">EOMONTH(B50,0)</f>
        <v>45473</v>
      </c>
      <c r="P50" s="7" t="n">
        <f aca="true">DATEDIF(B50,TODAY(),"m")</f>
        <v>27</v>
      </c>
      <c r="Q50" s="7" t="str">
        <f aca="false">IF(K50=Analysis!$B$16,COUNTIF($K$2:K50,Analysis!$B$16),"")</f>
        <v/>
      </c>
      <c r="R50" s="7" t="n">
        <f aca="false">IFERROR(DATEDIF(M50,B50,"m"),"")</f>
        <v>5</v>
      </c>
    </row>
    <row r="51" customFormat="false" ht="15" hidden="false" customHeight="false" outlineLevel="0" collapsed="false">
      <c r="A51" s="7" t="s">
        <v>214</v>
      </c>
      <c r="B51" s="9" t="n">
        <v>45459</v>
      </c>
      <c r="C51" s="7" t="s">
        <v>147</v>
      </c>
      <c r="D51" s="7" t="s">
        <v>148</v>
      </c>
      <c r="E51" s="7" t="s">
        <v>159</v>
      </c>
      <c r="F51" s="7" t="s">
        <v>160</v>
      </c>
      <c r="G51" s="7" t="s">
        <v>67</v>
      </c>
      <c r="H51" s="7" t="n">
        <v>2</v>
      </c>
      <c r="I51" s="10" t="n">
        <v>89.99</v>
      </c>
      <c r="J51" s="7" t="s">
        <v>74</v>
      </c>
      <c r="K51" s="7" t="s">
        <v>83</v>
      </c>
      <c r="L51" s="7" t="s">
        <v>75</v>
      </c>
      <c r="M51" s="9" t="n">
        <v>44471</v>
      </c>
      <c r="N51" s="10" t="n">
        <v>179.98</v>
      </c>
      <c r="O51" s="9" t="n">
        <f aca="false">EOMONTH(B51,0)</f>
        <v>45473</v>
      </c>
      <c r="P51" s="7" t="n">
        <f aca="true">DATEDIF(B51,TODAY(),"m")</f>
        <v>27</v>
      </c>
      <c r="Q51" s="7" t="str">
        <f aca="false">IF(K51=Analysis!$B$16,COUNTIF($K$2:K51,Analysis!$B$16),"")</f>
        <v/>
      </c>
      <c r="R51" s="7" t="n">
        <f aca="false">IFERROR(DATEDIF(M51,B51,"m"),"")</f>
        <v>32</v>
      </c>
    </row>
    <row r="52" customFormat="false" ht="15" hidden="false" customHeight="false" outlineLevel="0" collapsed="false">
      <c r="A52" s="7" t="s">
        <v>215</v>
      </c>
      <c r="B52" s="9" t="n">
        <v>45459</v>
      </c>
      <c r="C52" s="7" t="s">
        <v>63</v>
      </c>
      <c r="D52" s="7" t="s">
        <v>64</v>
      </c>
      <c r="E52" s="7" t="s">
        <v>109</v>
      </c>
      <c r="F52" s="7" t="s">
        <v>110</v>
      </c>
      <c r="G52" s="7" t="s">
        <v>67</v>
      </c>
      <c r="H52" s="7" t="n">
        <v>5</v>
      </c>
      <c r="I52" s="10" t="n">
        <v>899.99</v>
      </c>
      <c r="J52" s="7" t="s">
        <v>74</v>
      </c>
      <c r="K52" s="7" t="s">
        <v>83</v>
      </c>
      <c r="L52" s="7" t="s">
        <v>84</v>
      </c>
      <c r="M52" s="9" t="n">
        <v>44974</v>
      </c>
      <c r="N52" s="10" t="n">
        <v>4499.95</v>
      </c>
      <c r="O52" s="9" t="n">
        <f aca="false">EOMONTH(B52,0)</f>
        <v>45473</v>
      </c>
      <c r="P52" s="7" t="n">
        <f aca="true">DATEDIF(B52,TODAY(),"m")</f>
        <v>27</v>
      </c>
      <c r="Q52" s="7" t="str">
        <f aca="false">IF(K52=Analysis!$B$16,COUNTIF($K$2:K52,Analysis!$B$16),"")</f>
        <v/>
      </c>
      <c r="R52" s="7" t="n">
        <f aca="false">IFERROR(DATEDIF(M52,B52,"m"),"")</f>
        <v>15</v>
      </c>
    </row>
    <row r="53" customFormat="false" ht="15" hidden="false" customHeight="false" outlineLevel="0" collapsed="false">
      <c r="A53" s="7" t="s">
        <v>216</v>
      </c>
      <c r="B53" s="9" t="n">
        <v>45460</v>
      </c>
      <c r="C53" s="7" t="s">
        <v>205</v>
      </c>
      <c r="D53" s="7" t="s">
        <v>206</v>
      </c>
      <c r="E53" s="7" t="s">
        <v>79</v>
      </c>
      <c r="F53" s="7" t="s">
        <v>80</v>
      </c>
      <c r="G53" s="7" t="s">
        <v>81</v>
      </c>
      <c r="H53" s="7" t="n">
        <v>1</v>
      </c>
      <c r="I53" s="10" t="n">
        <v>59.99</v>
      </c>
      <c r="J53" s="7" t="s">
        <v>105</v>
      </c>
      <c r="K53" s="7" t="s">
        <v>98</v>
      </c>
      <c r="L53" s="7" t="s">
        <v>75</v>
      </c>
      <c r="M53" s="9" t="n">
        <v>45190</v>
      </c>
      <c r="N53" s="10" t="n">
        <v>59.99</v>
      </c>
      <c r="O53" s="9" t="n">
        <f aca="false">EOMONTH(B53,0)</f>
        <v>45473</v>
      </c>
      <c r="P53" s="7" t="n">
        <f aca="true">DATEDIF(B53,TODAY(),"m")</f>
        <v>27</v>
      </c>
      <c r="Q53" s="7" t="str">
        <f aca="false">IF(K53=Analysis!$B$16,COUNTIF($K$2:K53,Analysis!$B$16),"")</f>
        <v/>
      </c>
      <c r="R53" s="7" t="n">
        <f aca="false">IFERROR(DATEDIF(M53,B53,"m"),"")</f>
        <v>8</v>
      </c>
    </row>
    <row r="54" customFormat="false" ht="15" hidden="false" customHeight="false" outlineLevel="0" collapsed="false">
      <c r="A54" s="7" t="s">
        <v>217</v>
      </c>
      <c r="B54" s="9" t="n">
        <v>45460</v>
      </c>
      <c r="C54" s="7" t="s">
        <v>189</v>
      </c>
      <c r="D54" s="7" t="s">
        <v>190</v>
      </c>
      <c r="E54" s="7" t="s">
        <v>153</v>
      </c>
      <c r="F54" s="7" t="s">
        <v>154</v>
      </c>
      <c r="G54" s="7" t="s">
        <v>94</v>
      </c>
      <c r="H54" s="7" t="n">
        <v>2</v>
      </c>
      <c r="I54" s="10" t="n">
        <v>299.99</v>
      </c>
      <c r="J54" s="7" t="s">
        <v>105</v>
      </c>
      <c r="K54" s="7" t="s">
        <v>111</v>
      </c>
      <c r="L54" s="7" t="s">
        <v>84</v>
      </c>
      <c r="M54" s="9" t="n">
        <v>45253</v>
      </c>
      <c r="N54" s="10" t="n">
        <v>599.98</v>
      </c>
      <c r="O54" s="9" t="n">
        <f aca="false">EOMONTH(B54,0)</f>
        <v>45473</v>
      </c>
      <c r="P54" s="7" t="n">
        <f aca="true">DATEDIF(B54,TODAY(),"m")</f>
        <v>27</v>
      </c>
      <c r="Q54" s="7" t="str">
        <f aca="false">IF(K54=Analysis!$B$16,COUNTIF($K$2:K54,Analysis!$B$16),"")</f>
        <v/>
      </c>
      <c r="R54" s="7" t="n">
        <f aca="false">IFERROR(DATEDIF(M54,B54,"m"),"")</f>
        <v>6</v>
      </c>
    </row>
    <row r="55" customFormat="false" ht="15" hidden="false" customHeight="false" outlineLevel="0" collapsed="false">
      <c r="A55" s="7" t="s">
        <v>218</v>
      </c>
      <c r="B55" s="9" t="n">
        <v>45468</v>
      </c>
      <c r="C55" s="7" t="s">
        <v>219</v>
      </c>
      <c r="D55" s="7" t="s">
        <v>220</v>
      </c>
      <c r="E55" s="7" t="s">
        <v>159</v>
      </c>
      <c r="F55" s="7" t="s">
        <v>160</v>
      </c>
      <c r="G55" s="7" t="s">
        <v>67</v>
      </c>
      <c r="H55" s="7" t="n">
        <v>4</v>
      </c>
      <c r="I55" s="10" t="n">
        <v>89.99</v>
      </c>
      <c r="J55" s="7" t="s">
        <v>105</v>
      </c>
      <c r="K55" s="7" t="s">
        <v>83</v>
      </c>
      <c r="L55" s="7" t="s">
        <v>70</v>
      </c>
      <c r="M55" s="9" t="n">
        <v>45281</v>
      </c>
      <c r="N55" s="10" t="n">
        <v>359.96</v>
      </c>
      <c r="O55" s="9" t="n">
        <f aca="false">EOMONTH(B55,0)</f>
        <v>45473</v>
      </c>
      <c r="P55" s="7" t="n">
        <f aca="true">DATEDIF(B55,TODAY(),"m")</f>
        <v>27</v>
      </c>
      <c r="Q55" s="7" t="str">
        <f aca="false">IF(K55=Analysis!$B$16,COUNTIF($K$2:K55,Analysis!$B$16),"")</f>
        <v/>
      </c>
      <c r="R55" s="7" t="n">
        <f aca="false">IFERROR(DATEDIF(M55,B55,"m"),"")</f>
        <v>6</v>
      </c>
    </row>
    <row r="56" customFormat="false" ht="15" hidden="false" customHeight="false" outlineLevel="0" collapsed="false">
      <c r="A56" s="7" t="s">
        <v>221</v>
      </c>
      <c r="B56" s="9" t="n">
        <v>45469</v>
      </c>
      <c r="C56" s="7" t="s">
        <v>107</v>
      </c>
      <c r="D56" s="7" t="s">
        <v>108</v>
      </c>
      <c r="E56" s="7" t="s">
        <v>159</v>
      </c>
      <c r="F56" s="7" t="s">
        <v>160</v>
      </c>
      <c r="G56" s="7" t="s">
        <v>67</v>
      </c>
      <c r="H56" s="7" t="n">
        <v>2</v>
      </c>
      <c r="I56" s="10" t="n">
        <v>89.99</v>
      </c>
      <c r="J56" s="7" t="s">
        <v>68</v>
      </c>
      <c r="K56" s="7" t="s">
        <v>98</v>
      </c>
      <c r="L56" s="7" t="s">
        <v>70</v>
      </c>
      <c r="M56" s="9" t="n">
        <v>44438</v>
      </c>
      <c r="N56" s="10" t="n">
        <v>179.98</v>
      </c>
      <c r="O56" s="9" t="n">
        <f aca="false">EOMONTH(B56,0)</f>
        <v>45473</v>
      </c>
      <c r="P56" s="7" t="n">
        <f aca="true">DATEDIF(B56,TODAY(),"m")</f>
        <v>27</v>
      </c>
      <c r="Q56" s="7" t="str">
        <f aca="false">IF(K56=Analysis!$B$16,COUNTIF($K$2:K56,Analysis!$B$16),"")</f>
        <v/>
      </c>
      <c r="R56" s="7" t="n">
        <f aca="false">IFERROR(DATEDIF(M56,B56,"m"),"")</f>
        <v>33</v>
      </c>
    </row>
    <row r="57" customFormat="false" ht="15" hidden="false" customHeight="false" outlineLevel="0" collapsed="false">
      <c r="A57" s="7" t="s">
        <v>222</v>
      </c>
      <c r="B57" s="9" t="n">
        <v>45469</v>
      </c>
      <c r="C57" s="7" t="s">
        <v>77</v>
      </c>
      <c r="D57" s="7" t="s">
        <v>78</v>
      </c>
      <c r="E57" s="7" t="s">
        <v>165</v>
      </c>
      <c r="F57" s="7" t="s">
        <v>166</v>
      </c>
      <c r="G57" s="7" t="s">
        <v>81</v>
      </c>
      <c r="H57" s="7" t="n">
        <v>1</v>
      </c>
      <c r="I57" s="10" t="n">
        <v>79.99</v>
      </c>
      <c r="J57" s="7" t="s">
        <v>82</v>
      </c>
      <c r="K57" s="7" t="s">
        <v>69</v>
      </c>
      <c r="L57" s="7" t="s">
        <v>75</v>
      </c>
      <c r="M57" s="9" t="n">
        <v>45352</v>
      </c>
      <c r="N57" s="10" t="n">
        <v>79.99</v>
      </c>
      <c r="O57" s="9" t="n">
        <f aca="false">EOMONTH(B57,0)</f>
        <v>45473</v>
      </c>
      <c r="P57" s="7" t="n">
        <f aca="true">DATEDIF(B57,TODAY(),"m")</f>
        <v>27</v>
      </c>
      <c r="Q57" s="7" t="n">
        <f aca="false">IF(K57=Analysis!$B$16,COUNTIF($K$2:K57,Analysis!$B$16),"")</f>
        <v>7</v>
      </c>
      <c r="R57" s="7" t="n">
        <f aca="false">IFERROR(DATEDIF(M57,B57,"m"),"")</f>
        <v>3</v>
      </c>
    </row>
    <row r="58" customFormat="false" ht="15" hidden="false" customHeight="false" outlineLevel="0" collapsed="false">
      <c r="A58" s="7" t="s">
        <v>223</v>
      </c>
      <c r="B58" s="9" t="n">
        <v>45471</v>
      </c>
      <c r="C58" s="7" t="s">
        <v>147</v>
      </c>
      <c r="D58" s="7" t="s">
        <v>148</v>
      </c>
      <c r="E58" s="7" t="s">
        <v>109</v>
      </c>
      <c r="F58" s="7" t="s">
        <v>110</v>
      </c>
      <c r="G58" s="7" t="s">
        <v>67</v>
      </c>
      <c r="H58" s="7" t="n">
        <v>4</v>
      </c>
      <c r="I58" s="10" t="n">
        <v>899.99</v>
      </c>
      <c r="J58" s="7" t="s">
        <v>74</v>
      </c>
      <c r="K58" s="7" t="s">
        <v>111</v>
      </c>
      <c r="L58" s="7" t="s">
        <v>75</v>
      </c>
      <c r="M58" s="9" t="n">
        <v>44993</v>
      </c>
      <c r="N58" s="10" t="n">
        <v>3599.96</v>
      </c>
      <c r="O58" s="9" t="n">
        <f aca="false">EOMONTH(B58,0)</f>
        <v>45473</v>
      </c>
      <c r="P58" s="7" t="n">
        <f aca="true">DATEDIF(B58,TODAY(),"m")</f>
        <v>27</v>
      </c>
      <c r="Q58" s="7" t="str">
        <f aca="false">IF(K58=Analysis!$B$16,COUNTIF($K$2:K58,Analysis!$B$16),"")</f>
        <v/>
      </c>
      <c r="R58" s="7" t="n">
        <f aca="false">IFERROR(DATEDIF(M58,B58,"m"),"")</f>
        <v>15</v>
      </c>
    </row>
    <row r="59" customFormat="false" ht="15" hidden="false" customHeight="false" outlineLevel="0" collapsed="false">
      <c r="A59" s="7" t="s">
        <v>224</v>
      </c>
      <c r="B59" s="9" t="n">
        <v>45471</v>
      </c>
      <c r="C59" s="7" t="s">
        <v>86</v>
      </c>
      <c r="D59" s="7" t="s">
        <v>87</v>
      </c>
      <c r="E59" s="7" t="s">
        <v>128</v>
      </c>
      <c r="F59" s="7" t="s">
        <v>129</v>
      </c>
      <c r="G59" s="7" t="s">
        <v>67</v>
      </c>
      <c r="H59" s="7" t="n">
        <v>3</v>
      </c>
      <c r="I59" s="10" t="n">
        <v>699.99</v>
      </c>
      <c r="J59" s="7" t="s">
        <v>74</v>
      </c>
      <c r="K59" s="7" t="s">
        <v>111</v>
      </c>
      <c r="L59" s="7" t="s">
        <v>75</v>
      </c>
      <c r="M59" s="9" t="n">
        <v>45102</v>
      </c>
      <c r="N59" s="10" t="n">
        <v>2099.97</v>
      </c>
      <c r="O59" s="9" t="n">
        <f aca="false">EOMONTH(B59,0)</f>
        <v>45473</v>
      </c>
      <c r="P59" s="7" t="n">
        <f aca="true">DATEDIF(B59,TODAY(),"m")</f>
        <v>27</v>
      </c>
      <c r="Q59" s="7" t="str">
        <f aca="false">IF(K59=Analysis!$B$16,COUNTIF($K$2:K59,Analysis!$B$16),"")</f>
        <v/>
      </c>
      <c r="R59" s="7" t="n">
        <f aca="false">IFERROR(DATEDIF(M59,B59,"m"),"")</f>
        <v>12</v>
      </c>
    </row>
    <row r="60" customFormat="false" ht="15" hidden="false" customHeight="false" outlineLevel="0" collapsed="false">
      <c r="A60" s="7" t="s">
        <v>225</v>
      </c>
      <c r="B60" s="9" t="n">
        <v>45472</v>
      </c>
      <c r="C60" s="7" t="s">
        <v>168</v>
      </c>
      <c r="D60" s="7" t="s">
        <v>169</v>
      </c>
      <c r="E60" s="7" t="s">
        <v>92</v>
      </c>
      <c r="F60" s="7" t="s">
        <v>93</v>
      </c>
      <c r="G60" s="7" t="s">
        <v>94</v>
      </c>
      <c r="H60" s="7" t="n">
        <v>1</v>
      </c>
      <c r="I60" s="10" t="n">
        <v>149.99</v>
      </c>
      <c r="J60" s="7" t="s">
        <v>82</v>
      </c>
      <c r="K60" s="7" t="s">
        <v>111</v>
      </c>
      <c r="L60" s="7" t="s">
        <v>70</v>
      </c>
      <c r="M60" s="9" t="n">
        <v>44851</v>
      </c>
      <c r="N60" s="10" t="n">
        <v>149.99</v>
      </c>
      <c r="O60" s="9" t="n">
        <f aca="false">EOMONTH(B60,0)</f>
        <v>45473</v>
      </c>
      <c r="P60" s="7" t="n">
        <f aca="true">DATEDIF(B60,TODAY(),"m")</f>
        <v>27</v>
      </c>
      <c r="Q60" s="7" t="str">
        <f aca="false">IF(K60=Analysis!$B$16,COUNTIF($K$2:K60,Analysis!$B$16),"")</f>
        <v/>
      </c>
      <c r="R60" s="7" t="n">
        <f aca="false">IFERROR(DATEDIF(M60,B60,"m"),"")</f>
        <v>20</v>
      </c>
    </row>
    <row r="61" customFormat="false" ht="15" hidden="false" customHeight="false" outlineLevel="0" collapsed="false">
      <c r="A61" s="7" t="s">
        <v>226</v>
      </c>
      <c r="B61" s="9" t="n">
        <v>45474</v>
      </c>
      <c r="C61" s="7" t="s">
        <v>180</v>
      </c>
      <c r="D61" s="7" t="s">
        <v>181</v>
      </c>
      <c r="E61" s="7" t="s">
        <v>159</v>
      </c>
      <c r="F61" s="7" t="s">
        <v>160</v>
      </c>
      <c r="G61" s="7" t="s">
        <v>67</v>
      </c>
      <c r="H61" s="7" t="n">
        <v>2</v>
      </c>
      <c r="I61" s="10" t="n">
        <v>89.99</v>
      </c>
      <c r="J61" s="7" t="s">
        <v>82</v>
      </c>
      <c r="K61" s="7" t="s">
        <v>69</v>
      </c>
      <c r="L61" s="7" t="s">
        <v>75</v>
      </c>
      <c r="M61" s="9" t="n">
        <v>45275</v>
      </c>
      <c r="N61" s="10" t="n">
        <v>179.98</v>
      </c>
      <c r="O61" s="9" t="n">
        <f aca="false">EOMONTH(B61,0)</f>
        <v>45504</v>
      </c>
      <c r="P61" s="7" t="n">
        <f aca="true">DATEDIF(B61,TODAY(),"m")</f>
        <v>27</v>
      </c>
      <c r="Q61" s="7" t="n">
        <f aca="false">IF(K61=Analysis!$B$16,COUNTIF($K$2:K61,Analysis!$B$16),"")</f>
        <v>8</v>
      </c>
      <c r="R61" s="7" t="n">
        <f aca="false">IFERROR(DATEDIF(M61,B61,"m"),"")</f>
        <v>6</v>
      </c>
    </row>
    <row r="62" customFormat="false" ht="15" hidden="false" customHeight="false" outlineLevel="0" collapsed="false">
      <c r="A62" s="7" t="s">
        <v>227</v>
      </c>
      <c r="B62" s="9" t="n">
        <v>45475</v>
      </c>
      <c r="C62" s="7" t="s">
        <v>103</v>
      </c>
      <c r="D62" s="7" t="s">
        <v>104</v>
      </c>
      <c r="E62" s="7" t="s">
        <v>159</v>
      </c>
      <c r="F62" s="7" t="s">
        <v>160</v>
      </c>
      <c r="G62" s="7" t="s">
        <v>67</v>
      </c>
      <c r="H62" s="7" t="n">
        <v>1</v>
      </c>
      <c r="I62" s="10" t="n">
        <v>89.99</v>
      </c>
      <c r="J62" s="7" t="s">
        <v>82</v>
      </c>
      <c r="K62" s="7" t="s">
        <v>98</v>
      </c>
      <c r="L62" s="7" t="s">
        <v>84</v>
      </c>
      <c r="M62" s="9" t="n">
        <v>44802</v>
      </c>
      <c r="N62" s="10" t="n">
        <v>89.99</v>
      </c>
      <c r="O62" s="9" t="n">
        <f aca="false">EOMONTH(B62,0)</f>
        <v>45504</v>
      </c>
      <c r="P62" s="7" t="n">
        <f aca="true">DATEDIF(B62,TODAY(),"m")</f>
        <v>27</v>
      </c>
      <c r="Q62" s="7" t="str">
        <f aca="false">IF(K62=Analysis!$B$16,COUNTIF($K$2:K62,Analysis!$B$16),"")</f>
        <v/>
      </c>
      <c r="R62" s="7" t="n">
        <f aca="false">IFERROR(DATEDIF(M62,B62,"m"),"")</f>
        <v>22</v>
      </c>
    </row>
    <row r="63" customFormat="false" ht="15" hidden="false" customHeight="false" outlineLevel="0" collapsed="false">
      <c r="A63" s="7" t="s">
        <v>228</v>
      </c>
      <c r="B63" s="9" t="n">
        <v>45476</v>
      </c>
      <c r="C63" s="7" t="s">
        <v>113</v>
      </c>
      <c r="D63" s="7" t="s">
        <v>114</v>
      </c>
      <c r="E63" s="7" t="s">
        <v>159</v>
      </c>
      <c r="F63" s="7" t="s">
        <v>160</v>
      </c>
      <c r="G63" s="7" t="s">
        <v>67</v>
      </c>
      <c r="H63" s="7" t="n">
        <v>1</v>
      </c>
      <c r="I63" s="10" t="n">
        <v>89.99</v>
      </c>
      <c r="J63" s="7" t="s">
        <v>68</v>
      </c>
      <c r="K63" s="7" t="s">
        <v>83</v>
      </c>
      <c r="L63" s="7" t="s">
        <v>84</v>
      </c>
      <c r="M63" s="9" t="n">
        <v>44611</v>
      </c>
      <c r="N63" s="10" t="n">
        <v>89.99</v>
      </c>
      <c r="O63" s="9" t="n">
        <f aca="false">EOMONTH(B63,0)</f>
        <v>45504</v>
      </c>
      <c r="P63" s="7" t="n">
        <f aca="true">DATEDIF(B63,TODAY(),"m")</f>
        <v>27</v>
      </c>
      <c r="Q63" s="7" t="str">
        <f aca="false">IF(K63=Analysis!$B$16,COUNTIF($K$2:K63,Analysis!$B$16),"")</f>
        <v/>
      </c>
      <c r="R63" s="7" t="n">
        <f aca="false">IFERROR(DATEDIF(M63,B63,"m"),"")</f>
        <v>28</v>
      </c>
    </row>
    <row r="64" customFormat="false" ht="15" hidden="false" customHeight="false" outlineLevel="0" collapsed="false">
      <c r="A64" s="7" t="s">
        <v>229</v>
      </c>
      <c r="B64" s="9" t="n">
        <v>45476</v>
      </c>
      <c r="C64" s="7" t="s">
        <v>230</v>
      </c>
      <c r="D64" s="7" t="s">
        <v>231</v>
      </c>
      <c r="E64" s="7" t="s">
        <v>165</v>
      </c>
      <c r="F64" s="7" t="s">
        <v>166</v>
      </c>
      <c r="G64" s="7" t="s">
        <v>81</v>
      </c>
      <c r="H64" s="7" t="n">
        <v>5</v>
      </c>
      <c r="I64" s="10" t="n">
        <v>79.99</v>
      </c>
      <c r="J64" s="7" t="s">
        <v>105</v>
      </c>
      <c r="K64" s="7" t="s">
        <v>69</v>
      </c>
      <c r="L64" s="7" t="s">
        <v>70</v>
      </c>
      <c r="M64" s="9" t="n">
        <v>44981</v>
      </c>
      <c r="N64" s="10" t="n">
        <v>399.95</v>
      </c>
      <c r="O64" s="9" t="n">
        <f aca="false">EOMONTH(B64,0)</f>
        <v>45504</v>
      </c>
      <c r="P64" s="7" t="n">
        <f aca="true">DATEDIF(B64,TODAY(),"m")</f>
        <v>27</v>
      </c>
      <c r="Q64" s="7" t="n">
        <f aca="false">IF(K64=Analysis!$B$16,COUNTIF($K$2:K64,Analysis!$B$16),"")</f>
        <v>9</v>
      </c>
      <c r="R64" s="7" t="n">
        <f aca="false">IFERROR(DATEDIF(M64,B64,"m"),"")</f>
        <v>16</v>
      </c>
    </row>
    <row r="65" customFormat="false" ht="15" hidden="false" customHeight="false" outlineLevel="0" collapsed="false">
      <c r="A65" s="7" t="s">
        <v>232</v>
      </c>
      <c r="B65" s="9" t="n">
        <v>45481</v>
      </c>
      <c r="C65" s="7" t="s">
        <v>233</v>
      </c>
      <c r="D65" s="7" t="s">
        <v>234</v>
      </c>
      <c r="E65" s="7" t="s">
        <v>92</v>
      </c>
      <c r="F65" s="7" t="s">
        <v>93</v>
      </c>
      <c r="G65" s="7" t="s">
        <v>94</v>
      </c>
      <c r="H65" s="7" t="n">
        <v>1</v>
      </c>
      <c r="I65" s="10" t="n">
        <v>149.99</v>
      </c>
      <c r="J65" s="7" t="s">
        <v>82</v>
      </c>
      <c r="K65" s="7" t="s">
        <v>88</v>
      </c>
      <c r="L65" s="7" t="s">
        <v>70</v>
      </c>
      <c r="M65" s="9" t="n">
        <v>44421</v>
      </c>
      <c r="N65" s="10" t="n">
        <v>149.99</v>
      </c>
      <c r="O65" s="9" t="n">
        <f aca="false">EOMONTH(B65,0)</f>
        <v>45504</v>
      </c>
      <c r="P65" s="7" t="n">
        <f aca="true">DATEDIF(B65,TODAY(),"m")</f>
        <v>27</v>
      </c>
      <c r="Q65" s="7" t="str">
        <f aca="false">IF(K65=Analysis!$B$16,COUNTIF($K$2:K65,Analysis!$B$16),"")</f>
        <v/>
      </c>
      <c r="R65" s="7" t="n">
        <f aca="false">IFERROR(DATEDIF(M65,B65,"m"),"")</f>
        <v>34</v>
      </c>
    </row>
    <row r="66" customFormat="false" ht="15" hidden="false" customHeight="false" outlineLevel="0" collapsed="false">
      <c r="A66" s="7" t="s">
        <v>235</v>
      </c>
      <c r="B66" s="9" t="n">
        <v>45481</v>
      </c>
      <c r="C66" s="7" t="s">
        <v>90</v>
      </c>
      <c r="D66" s="7" t="s">
        <v>91</v>
      </c>
      <c r="E66" s="7" t="s">
        <v>128</v>
      </c>
      <c r="F66" s="7" t="s">
        <v>129</v>
      </c>
      <c r="G66" s="7" t="s">
        <v>67</v>
      </c>
      <c r="H66" s="7" t="n">
        <v>2</v>
      </c>
      <c r="I66" s="10" t="n">
        <v>699.99</v>
      </c>
      <c r="J66" s="7" t="s">
        <v>82</v>
      </c>
      <c r="K66" s="7" t="s">
        <v>111</v>
      </c>
      <c r="L66" s="7" t="s">
        <v>75</v>
      </c>
      <c r="M66" s="9" t="n">
        <v>45389</v>
      </c>
      <c r="N66" s="10" t="n">
        <v>1399.98</v>
      </c>
      <c r="O66" s="9" t="n">
        <f aca="false">EOMONTH(B66,0)</f>
        <v>45504</v>
      </c>
      <c r="P66" s="7" t="n">
        <f aca="true">DATEDIF(B66,TODAY(),"m")</f>
        <v>27</v>
      </c>
      <c r="Q66" s="7" t="str">
        <f aca="false">IF(K66=Analysis!$B$16,COUNTIF($K$2:K66,Analysis!$B$16),"")</f>
        <v/>
      </c>
      <c r="R66" s="7" t="n">
        <f aca="false">IFERROR(DATEDIF(M66,B66,"m"),"")</f>
        <v>3</v>
      </c>
    </row>
    <row r="67" customFormat="false" ht="15" hidden="false" customHeight="false" outlineLevel="0" collapsed="false">
      <c r="A67" s="7" t="s">
        <v>236</v>
      </c>
      <c r="B67" s="9" t="n">
        <v>45481</v>
      </c>
      <c r="C67" s="7" t="s">
        <v>144</v>
      </c>
      <c r="D67" s="7" t="s">
        <v>145</v>
      </c>
      <c r="E67" s="7" t="s">
        <v>159</v>
      </c>
      <c r="F67" s="7" t="s">
        <v>160</v>
      </c>
      <c r="G67" s="7" t="s">
        <v>67</v>
      </c>
      <c r="H67" s="7" t="n">
        <v>5</v>
      </c>
      <c r="I67" s="10" t="n">
        <v>89.99</v>
      </c>
      <c r="J67" s="7" t="s">
        <v>105</v>
      </c>
      <c r="K67" s="7" t="s">
        <v>88</v>
      </c>
      <c r="L67" s="7" t="s">
        <v>75</v>
      </c>
      <c r="M67" s="9" t="n">
        <v>45161</v>
      </c>
      <c r="N67" s="10" t="n">
        <v>449.95</v>
      </c>
      <c r="O67" s="9" t="n">
        <f aca="false">EOMONTH(B67,0)</f>
        <v>45504</v>
      </c>
      <c r="P67" s="7" t="n">
        <f aca="true">DATEDIF(B67,TODAY(),"m")</f>
        <v>27</v>
      </c>
      <c r="Q67" s="7" t="str">
        <f aca="false">IF(K67=Analysis!$B$16,COUNTIF($K$2:K67,Analysis!$B$16),"")</f>
        <v/>
      </c>
      <c r="R67" s="7" t="n">
        <f aca="false">IFERROR(DATEDIF(M67,B67,"m"),"")</f>
        <v>10</v>
      </c>
    </row>
    <row r="68" customFormat="false" ht="15" hidden="false" customHeight="false" outlineLevel="0" collapsed="false">
      <c r="A68" s="7" t="s">
        <v>237</v>
      </c>
      <c r="B68" s="9" t="n">
        <v>45482</v>
      </c>
      <c r="C68" s="7" t="s">
        <v>219</v>
      </c>
      <c r="D68" s="7" t="s">
        <v>220</v>
      </c>
      <c r="E68" s="7" t="s">
        <v>79</v>
      </c>
      <c r="F68" s="7" t="s">
        <v>80</v>
      </c>
      <c r="G68" s="7" t="s">
        <v>81</v>
      </c>
      <c r="H68" s="7" t="n">
        <v>4</v>
      </c>
      <c r="I68" s="10" t="n">
        <v>59.99</v>
      </c>
      <c r="J68" s="7" t="s">
        <v>68</v>
      </c>
      <c r="K68" s="7" t="s">
        <v>83</v>
      </c>
      <c r="L68" s="7" t="s">
        <v>84</v>
      </c>
      <c r="M68" s="9" t="n">
        <v>44509</v>
      </c>
      <c r="N68" s="10" t="n">
        <v>239.96</v>
      </c>
      <c r="O68" s="9" t="n">
        <f aca="false">EOMONTH(B68,0)</f>
        <v>45504</v>
      </c>
      <c r="P68" s="7" t="n">
        <f aca="true">DATEDIF(B68,TODAY(),"m")</f>
        <v>27</v>
      </c>
      <c r="Q68" s="7" t="str">
        <f aca="false">IF(K68=Analysis!$B$16,COUNTIF($K$2:K68,Analysis!$B$16),"")</f>
        <v/>
      </c>
      <c r="R68" s="7" t="n">
        <f aca="false">IFERROR(DATEDIF(M68,B68,"m"),"")</f>
        <v>32</v>
      </c>
    </row>
    <row r="69" customFormat="false" ht="15" hidden="false" customHeight="false" outlineLevel="0" collapsed="false">
      <c r="A69" s="7" t="s">
        <v>238</v>
      </c>
      <c r="B69" s="9" t="n">
        <v>45484</v>
      </c>
      <c r="C69" s="7" t="s">
        <v>72</v>
      </c>
      <c r="D69" s="7" t="s">
        <v>73</v>
      </c>
      <c r="E69" s="7" t="s">
        <v>100</v>
      </c>
      <c r="F69" s="7" t="s">
        <v>101</v>
      </c>
      <c r="G69" s="7" t="s">
        <v>67</v>
      </c>
      <c r="H69" s="7" t="n">
        <v>1</v>
      </c>
      <c r="I69" s="10" t="n">
        <v>149.99</v>
      </c>
      <c r="J69" s="7" t="s">
        <v>68</v>
      </c>
      <c r="K69" s="7" t="s">
        <v>69</v>
      </c>
      <c r="L69" s="7" t="s">
        <v>84</v>
      </c>
      <c r="M69" s="9" t="n">
        <v>44909</v>
      </c>
      <c r="N69" s="10" t="n">
        <v>149.99</v>
      </c>
      <c r="O69" s="9" t="n">
        <f aca="false">EOMONTH(B69,0)</f>
        <v>45504</v>
      </c>
      <c r="P69" s="7" t="n">
        <f aca="true">DATEDIF(B69,TODAY(),"m")</f>
        <v>27</v>
      </c>
      <c r="Q69" s="7" t="n">
        <f aca="false">IF(K69=Analysis!$B$16,COUNTIF($K$2:K69,Analysis!$B$16),"")</f>
        <v>10</v>
      </c>
      <c r="R69" s="7" t="n">
        <f aca="false">IFERROR(DATEDIF(M69,B69,"m"),"")</f>
        <v>18</v>
      </c>
    </row>
    <row r="70" customFormat="false" ht="15" hidden="false" customHeight="false" outlineLevel="0" collapsed="false">
      <c r="A70" s="7" t="s">
        <v>239</v>
      </c>
      <c r="B70" s="9" t="n">
        <v>45484</v>
      </c>
      <c r="C70" s="7" t="s">
        <v>240</v>
      </c>
      <c r="D70" s="7" t="s">
        <v>241</v>
      </c>
      <c r="E70" s="7" t="s">
        <v>153</v>
      </c>
      <c r="F70" s="7" t="s">
        <v>154</v>
      </c>
      <c r="G70" s="7" t="s">
        <v>94</v>
      </c>
      <c r="H70" s="7" t="n">
        <v>1</v>
      </c>
      <c r="I70" s="10" t="n">
        <v>299.99</v>
      </c>
      <c r="J70" s="7" t="s">
        <v>74</v>
      </c>
      <c r="K70" s="7" t="s">
        <v>88</v>
      </c>
      <c r="L70" s="7" t="s">
        <v>75</v>
      </c>
      <c r="M70" s="9" t="n">
        <v>44891</v>
      </c>
      <c r="N70" s="10" t="n">
        <v>299.99</v>
      </c>
      <c r="O70" s="9" t="n">
        <f aca="false">EOMONTH(B70,0)</f>
        <v>45504</v>
      </c>
      <c r="P70" s="7" t="n">
        <f aca="true">DATEDIF(B70,TODAY(),"m")</f>
        <v>27</v>
      </c>
      <c r="Q70" s="7" t="str">
        <f aca="false">IF(K70=Analysis!$B$16,COUNTIF($K$2:K70,Analysis!$B$16),"")</f>
        <v/>
      </c>
      <c r="R70" s="7" t="n">
        <f aca="false">IFERROR(DATEDIF(M70,B70,"m"),"")</f>
        <v>19</v>
      </c>
    </row>
    <row r="71" customFormat="false" ht="15" hidden="false" customHeight="false" outlineLevel="0" collapsed="false">
      <c r="A71" s="7" t="s">
        <v>242</v>
      </c>
      <c r="B71" s="9" t="n">
        <v>45487</v>
      </c>
      <c r="C71" s="7" t="s">
        <v>240</v>
      </c>
      <c r="D71" s="7" t="s">
        <v>241</v>
      </c>
      <c r="E71" s="7" t="s">
        <v>171</v>
      </c>
      <c r="F71" s="7" t="s">
        <v>172</v>
      </c>
      <c r="G71" s="7" t="s">
        <v>94</v>
      </c>
      <c r="H71" s="7" t="n">
        <v>2</v>
      </c>
      <c r="I71" s="10" t="n">
        <v>199.99</v>
      </c>
      <c r="J71" s="7" t="s">
        <v>68</v>
      </c>
      <c r="K71" s="7" t="s">
        <v>88</v>
      </c>
      <c r="L71" s="7" t="s">
        <v>70</v>
      </c>
      <c r="M71" s="9" t="n">
        <v>44541</v>
      </c>
      <c r="N71" s="10" t="n">
        <v>399.98</v>
      </c>
      <c r="O71" s="9" t="n">
        <f aca="false">EOMONTH(B71,0)</f>
        <v>45504</v>
      </c>
      <c r="P71" s="7" t="n">
        <f aca="true">DATEDIF(B71,TODAY(),"m")</f>
        <v>26</v>
      </c>
      <c r="Q71" s="7" t="str">
        <f aca="false">IF(K71=Analysis!$B$16,COUNTIF($K$2:K71,Analysis!$B$16),"")</f>
        <v/>
      </c>
      <c r="R71" s="7" t="n">
        <f aca="false">IFERROR(DATEDIF(M71,B71,"m"),"")</f>
        <v>31</v>
      </c>
    </row>
    <row r="72" customFormat="false" ht="15" hidden="false" customHeight="false" outlineLevel="0" collapsed="false">
      <c r="A72" s="7" t="s">
        <v>243</v>
      </c>
      <c r="B72" s="9" t="n">
        <v>45490</v>
      </c>
      <c r="C72" s="7" t="s">
        <v>244</v>
      </c>
      <c r="D72" s="7" t="s">
        <v>245</v>
      </c>
      <c r="E72" s="7" t="s">
        <v>79</v>
      </c>
      <c r="F72" s="7" t="s">
        <v>80</v>
      </c>
      <c r="G72" s="7" t="s">
        <v>81</v>
      </c>
      <c r="H72" s="7" t="n">
        <v>3</v>
      </c>
      <c r="I72" s="10" t="n">
        <v>59.99</v>
      </c>
      <c r="J72" s="7" t="s">
        <v>74</v>
      </c>
      <c r="K72" s="7" t="s">
        <v>98</v>
      </c>
      <c r="L72" s="7" t="s">
        <v>70</v>
      </c>
      <c r="M72" s="9" t="n">
        <v>45130</v>
      </c>
      <c r="N72" s="10" t="n">
        <v>179.97</v>
      </c>
      <c r="O72" s="9" t="n">
        <f aca="false">EOMONTH(B72,0)</f>
        <v>45504</v>
      </c>
      <c r="P72" s="7" t="n">
        <f aca="true">DATEDIF(B72,TODAY(),"m")</f>
        <v>26</v>
      </c>
      <c r="Q72" s="7" t="str">
        <f aca="false">IF(K72=Analysis!$B$16,COUNTIF($K$2:K72,Analysis!$B$16),"")</f>
        <v/>
      </c>
      <c r="R72" s="7" t="n">
        <f aca="false">IFERROR(DATEDIF(M72,B72,"m"),"")</f>
        <v>11</v>
      </c>
    </row>
    <row r="73" customFormat="false" ht="15" hidden="false" customHeight="false" outlineLevel="0" collapsed="false">
      <c r="A73" s="7" t="s">
        <v>246</v>
      </c>
      <c r="B73" s="9" t="n">
        <v>45490</v>
      </c>
      <c r="C73" s="7" t="s">
        <v>120</v>
      </c>
      <c r="D73" s="7" t="s">
        <v>121</v>
      </c>
      <c r="E73" s="7" t="s">
        <v>92</v>
      </c>
      <c r="F73" s="7" t="s">
        <v>93</v>
      </c>
      <c r="G73" s="7" t="s">
        <v>94</v>
      </c>
      <c r="H73" s="7" t="n">
        <v>3</v>
      </c>
      <c r="I73" s="10" t="n">
        <v>149.99</v>
      </c>
      <c r="J73" s="7" t="s">
        <v>68</v>
      </c>
      <c r="K73" s="7" t="s">
        <v>69</v>
      </c>
      <c r="L73" s="7" t="s">
        <v>75</v>
      </c>
      <c r="M73" s="9" t="n">
        <v>45199</v>
      </c>
      <c r="N73" s="10" t="n">
        <v>449.97</v>
      </c>
      <c r="O73" s="9" t="n">
        <f aca="false">EOMONTH(B73,0)</f>
        <v>45504</v>
      </c>
      <c r="P73" s="7" t="n">
        <f aca="true">DATEDIF(B73,TODAY(),"m")</f>
        <v>26</v>
      </c>
      <c r="Q73" s="7" t="n">
        <f aca="false">IF(K73=Analysis!$B$16,COUNTIF($K$2:K73,Analysis!$B$16),"")</f>
        <v>11</v>
      </c>
      <c r="R73" s="7" t="n">
        <f aca="false">IFERROR(DATEDIF(M73,B73,"m"),"")</f>
        <v>9</v>
      </c>
    </row>
    <row r="74" customFormat="false" ht="15" hidden="false" customHeight="false" outlineLevel="0" collapsed="false">
      <c r="A74" s="7" t="s">
        <v>247</v>
      </c>
      <c r="B74" s="9" t="n">
        <v>45491</v>
      </c>
      <c r="C74" s="7" t="s">
        <v>116</v>
      </c>
      <c r="D74" s="7" t="s">
        <v>117</v>
      </c>
      <c r="E74" s="7" t="s">
        <v>171</v>
      </c>
      <c r="F74" s="7" t="s">
        <v>172</v>
      </c>
      <c r="G74" s="7" t="s">
        <v>94</v>
      </c>
      <c r="H74" s="7" t="n">
        <v>3</v>
      </c>
      <c r="I74" s="10" t="n">
        <v>199.99</v>
      </c>
      <c r="J74" s="7" t="s">
        <v>68</v>
      </c>
      <c r="K74" s="7" t="s">
        <v>88</v>
      </c>
      <c r="L74" s="7" t="s">
        <v>75</v>
      </c>
      <c r="M74" s="9" t="n">
        <v>45254</v>
      </c>
      <c r="N74" s="10" t="n">
        <v>599.97</v>
      </c>
      <c r="O74" s="9" t="n">
        <f aca="false">EOMONTH(B74,0)</f>
        <v>45504</v>
      </c>
      <c r="P74" s="7" t="n">
        <f aca="true">DATEDIF(B74,TODAY(),"m")</f>
        <v>26</v>
      </c>
      <c r="Q74" s="7" t="str">
        <f aca="false">IF(K74=Analysis!$B$16,COUNTIF($K$2:K74,Analysis!$B$16),"")</f>
        <v/>
      </c>
      <c r="R74" s="7" t="n">
        <f aca="false">IFERROR(DATEDIF(M74,B74,"m"),"")</f>
        <v>7</v>
      </c>
    </row>
    <row r="75" customFormat="false" ht="15" hidden="false" customHeight="false" outlineLevel="0" collapsed="false">
      <c r="A75" s="7" t="s">
        <v>248</v>
      </c>
      <c r="B75" s="9" t="n">
        <v>45496</v>
      </c>
      <c r="C75" s="7" t="s">
        <v>199</v>
      </c>
      <c r="D75" s="7" t="s">
        <v>200</v>
      </c>
      <c r="E75" s="7" t="s">
        <v>109</v>
      </c>
      <c r="F75" s="7" t="s">
        <v>110</v>
      </c>
      <c r="G75" s="7" t="s">
        <v>67</v>
      </c>
      <c r="H75" s="7" t="n">
        <v>1</v>
      </c>
      <c r="I75" s="10" t="n">
        <v>899.99</v>
      </c>
      <c r="J75" s="7" t="s">
        <v>68</v>
      </c>
      <c r="K75" s="7" t="s">
        <v>69</v>
      </c>
      <c r="L75" s="7" t="s">
        <v>84</v>
      </c>
      <c r="M75" s="9" t="n">
        <v>45179</v>
      </c>
      <c r="N75" s="10" t="n">
        <v>899.99</v>
      </c>
      <c r="O75" s="9" t="n">
        <f aca="false">EOMONTH(B75,0)</f>
        <v>45504</v>
      </c>
      <c r="P75" s="7" t="n">
        <f aca="true">DATEDIF(B75,TODAY(),"m")</f>
        <v>26</v>
      </c>
      <c r="Q75" s="7" t="n">
        <f aca="false">IF(K75=Analysis!$B$16,COUNTIF($K$2:K75,Analysis!$B$16),"")</f>
        <v>12</v>
      </c>
      <c r="R75" s="7" t="n">
        <f aca="false">IFERROR(DATEDIF(M75,B75,"m"),"")</f>
        <v>10</v>
      </c>
    </row>
    <row r="76" customFormat="false" ht="15" hidden="false" customHeight="false" outlineLevel="0" collapsed="false">
      <c r="A76" s="7" t="s">
        <v>249</v>
      </c>
      <c r="B76" s="9" t="n">
        <v>45497</v>
      </c>
      <c r="C76" s="7" t="s">
        <v>72</v>
      </c>
      <c r="D76" s="7" t="s">
        <v>73</v>
      </c>
      <c r="E76" s="7" t="s">
        <v>109</v>
      </c>
      <c r="F76" s="7" t="s">
        <v>110</v>
      </c>
      <c r="G76" s="7" t="s">
        <v>67</v>
      </c>
      <c r="H76" s="7" t="n">
        <v>5</v>
      </c>
      <c r="I76" s="10" t="n">
        <v>899.99</v>
      </c>
      <c r="J76" s="7" t="s">
        <v>105</v>
      </c>
      <c r="K76" s="7" t="s">
        <v>83</v>
      </c>
      <c r="L76" s="7" t="s">
        <v>84</v>
      </c>
      <c r="M76" s="9" t="n">
        <v>44899</v>
      </c>
      <c r="N76" s="10" t="n">
        <v>4499.95</v>
      </c>
      <c r="O76" s="9" t="n">
        <f aca="false">EOMONTH(B76,0)</f>
        <v>45504</v>
      </c>
      <c r="P76" s="7" t="n">
        <f aca="true">DATEDIF(B76,TODAY(),"m")</f>
        <v>26</v>
      </c>
      <c r="Q76" s="7" t="str">
        <f aca="false">IF(K76=Analysis!$B$16,COUNTIF($K$2:K76,Analysis!$B$16),"")</f>
        <v/>
      </c>
      <c r="R76" s="7" t="n">
        <f aca="false">IFERROR(DATEDIF(M76,B76,"m"),"")</f>
        <v>19</v>
      </c>
    </row>
    <row r="77" customFormat="false" ht="15" hidden="false" customHeight="false" outlineLevel="0" collapsed="false">
      <c r="A77" s="7" t="s">
        <v>250</v>
      </c>
      <c r="B77" s="9" t="n">
        <v>45498</v>
      </c>
      <c r="C77" s="7" t="s">
        <v>230</v>
      </c>
      <c r="D77" s="7" t="s">
        <v>231</v>
      </c>
      <c r="E77" s="7" t="s">
        <v>79</v>
      </c>
      <c r="F77" s="7" t="s">
        <v>80</v>
      </c>
      <c r="G77" s="7" t="s">
        <v>81</v>
      </c>
      <c r="H77" s="7" t="n">
        <v>2</v>
      </c>
      <c r="I77" s="10" t="n">
        <v>59.99</v>
      </c>
      <c r="J77" s="7" t="s">
        <v>68</v>
      </c>
      <c r="K77" s="7" t="s">
        <v>88</v>
      </c>
      <c r="L77" s="7" t="s">
        <v>84</v>
      </c>
      <c r="M77" s="9" t="n">
        <v>45152</v>
      </c>
      <c r="N77" s="10" t="n">
        <v>119.98</v>
      </c>
      <c r="O77" s="9" t="n">
        <f aca="false">EOMONTH(B77,0)</f>
        <v>45504</v>
      </c>
      <c r="P77" s="7" t="n">
        <f aca="true">DATEDIF(B77,TODAY(),"m")</f>
        <v>26</v>
      </c>
      <c r="Q77" s="7" t="str">
        <f aca="false">IF(K77=Analysis!$B$16,COUNTIF($K$2:K77,Analysis!$B$16),"")</f>
        <v/>
      </c>
      <c r="R77" s="7" t="n">
        <f aca="false">IFERROR(DATEDIF(M77,B77,"m"),"")</f>
        <v>11</v>
      </c>
    </row>
    <row r="78" customFormat="false" ht="15" hidden="false" customHeight="false" outlineLevel="0" collapsed="false">
      <c r="A78" s="7" t="s">
        <v>251</v>
      </c>
      <c r="B78" s="9" t="n">
        <v>45498</v>
      </c>
      <c r="C78" s="7" t="s">
        <v>244</v>
      </c>
      <c r="D78" s="7" t="s">
        <v>245</v>
      </c>
      <c r="E78" s="7" t="s">
        <v>65</v>
      </c>
      <c r="F78" s="7" t="s">
        <v>66</v>
      </c>
      <c r="G78" s="7" t="s">
        <v>67</v>
      </c>
      <c r="H78" s="7" t="n">
        <v>4</v>
      </c>
      <c r="I78" s="10" t="n">
        <v>249.99</v>
      </c>
      <c r="J78" s="7" t="s">
        <v>105</v>
      </c>
      <c r="K78" s="7" t="s">
        <v>69</v>
      </c>
      <c r="L78" s="7" t="s">
        <v>84</v>
      </c>
      <c r="M78" s="9" t="n">
        <v>45127</v>
      </c>
      <c r="N78" s="10" t="n">
        <v>999.96</v>
      </c>
      <c r="O78" s="9" t="n">
        <f aca="false">EOMONTH(B78,0)</f>
        <v>45504</v>
      </c>
      <c r="P78" s="7" t="n">
        <f aca="true">DATEDIF(B78,TODAY(),"m")</f>
        <v>26</v>
      </c>
      <c r="Q78" s="7" t="n">
        <f aca="false">IF(K78=Analysis!$B$16,COUNTIF($K$2:K78,Analysis!$B$16),"")</f>
        <v>13</v>
      </c>
      <c r="R78" s="7" t="n">
        <f aca="false">IFERROR(DATEDIF(M78,B78,"m"),"")</f>
        <v>12</v>
      </c>
    </row>
    <row r="79" customFormat="false" ht="15" hidden="false" customHeight="false" outlineLevel="0" collapsed="false">
      <c r="A79" s="7" t="s">
        <v>252</v>
      </c>
      <c r="B79" s="9" t="n">
        <v>45500</v>
      </c>
      <c r="C79" s="7" t="s">
        <v>144</v>
      </c>
      <c r="D79" s="7" t="s">
        <v>145</v>
      </c>
      <c r="E79" s="7" t="s">
        <v>65</v>
      </c>
      <c r="F79" s="7" t="s">
        <v>66</v>
      </c>
      <c r="G79" s="7" t="s">
        <v>67</v>
      </c>
      <c r="H79" s="7" t="n">
        <v>2</v>
      </c>
      <c r="I79" s="10" t="n">
        <v>249.99</v>
      </c>
      <c r="J79" s="7" t="s">
        <v>68</v>
      </c>
      <c r="K79" s="7" t="s">
        <v>88</v>
      </c>
      <c r="L79" s="7" t="s">
        <v>75</v>
      </c>
      <c r="M79" s="9" t="n">
        <v>45164</v>
      </c>
      <c r="N79" s="10" t="n">
        <v>499.98</v>
      </c>
      <c r="O79" s="9" t="n">
        <f aca="false">EOMONTH(B79,0)</f>
        <v>45504</v>
      </c>
      <c r="P79" s="7" t="n">
        <f aca="true">DATEDIF(B79,TODAY(),"m")</f>
        <v>26</v>
      </c>
      <c r="Q79" s="7" t="str">
        <f aca="false">IF(K79=Analysis!$B$16,COUNTIF($K$2:K79,Analysis!$B$16),"")</f>
        <v/>
      </c>
      <c r="R79" s="7" t="n">
        <f aca="false">IFERROR(DATEDIF(M79,B79,"m"),"")</f>
        <v>11</v>
      </c>
    </row>
    <row r="80" customFormat="false" ht="15" hidden="false" customHeight="false" outlineLevel="0" collapsed="false">
      <c r="A80" s="7" t="s">
        <v>253</v>
      </c>
      <c r="B80" s="9" t="n">
        <v>45500</v>
      </c>
      <c r="C80" s="7" t="s">
        <v>195</v>
      </c>
      <c r="D80" s="7" t="s">
        <v>196</v>
      </c>
      <c r="E80" s="7" t="s">
        <v>153</v>
      </c>
      <c r="F80" s="7" t="s">
        <v>154</v>
      </c>
      <c r="G80" s="7" t="s">
        <v>94</v>
      </c>
      <c r="H80" s="7" t="n">
        <v>1</v>
      </c>
      <c r="I80" s="10" t="n">
        <v>299.99</v>
      </c>
      <c r="J80" s="7" t="s">
        <v>68</v>
      </c>
      <c r="K80" s="7" t="s">
        <v>83</v>
      </c>
      <c r="L80" s="7" t="s">
        <v>70</v>
      </c>
      <c r="M80" s="9" t="n">
        <v>44982</v>
      </c>
      <c r="N80" s="10" t="n">
        <v>299.99</v>
      </c>
      <c r="O80" s="9" t="n">
        <f aca="false">EOMONTH(B80,0)</f>
        <v>45504</v>
      </c>
      <c r="P80" s="7" t="n">
        <f aca="true">DATEDIF(B80,TODAY(),"m")</f>
        <v>26</v>
      </c>
      <c r="Q80" s="7" t="str">
        <f aca="false">IF(K80=Analysis!$B$16,COUNTIF($K$2:K80,Analysis!$B$16),"")</f>
        <v/>
      </c>
      <c r="R80" s="7" t="n">
        <f aca="false">IFERROR(DATEDIF(M80,B80,"m"),"")</f>
        <v>17</v>
      </c>
    </row>
    <row r="81" customFormat="false" ht="15" hidden="false" customHeight="false" outlineLevel="0" collapsed="false">
      <c r="A81" s="7" t="s">
        <v>254</v>
      </c>
      <c r="B81" s="9" t="n">
        <v>45501</v>
      </c>
      <c r="C81" s="7" t="s">
        <v>195</v>
      </c>
      <c r="D81" s="7" t="s">
        <v>196</v>
      </c>
      <c r="E81" s="7" t="s">
        <v>153</v>
      </c>
      <c r="F81" s="7" t="s">
        <v>154</v>
      </c>
      <c r="G81" s="7" t="s">
        <v>94</v>
      </c>
      <c r="H81" s="7" t="n">
        <v>3</v>
      </c>
      <c r="I81" s="10" t="n">
        <v>299.99</v>
      </c>
      <c r="J81" s="7" t="s">
        <v>68</v>
      </c>
      <c r="K81" s="7" t="s">
        <v>69</v>
      </c>
      <c r="L81" s="7" t="s">
        <v>70</v>
      </c>
      <c r="M81" s="9" t="n">
        <v>44732</v>
      </c>
      <c r="N81" s="10" t="n">
        <v>899.97</v>
      </c>
      <c r="O81" s="9" t="n">
        <f aca="false">EOMONTH(B81,0)</f>
        <v>45504</v>
      </c>
      <c r="P81" s="7" t="n">
        <f aca="true">DATEDIF(B81,TODAY(),"m")</f>
        <v>26</v>
      </c>
      <c r="Q81" s="7" t="n">
        <f aca="false">IF(K81=Analysis!$B$16,COUNTIF($K$2:K81,Analysis!$B$16),"")</f>
        <v>14</v>
      </c>
      <c r="R81" s="7" t="n">
        <f aca="false">IFERROR(DATEDIF(M81,B81,"m"),"")</f>
        <v>25</v>
      </c>
    </row>
    <row r="82" customFormat="false" ht="15" hidden="false" customHeight="false" outlineLevel="0" collapsed="false">
      <c r="A82" s="7" t="s">
        <v>255</v>
      </c>
      <c r="B82" s="9" t="n">
        <v>45501</v>
      </c>
      <c r="C82" s="7" t="s">
        <v>134</v>
      </c>
      <c r="D82" s="7" t="s">
        <v>135</v>
      </c>
      <c r="E82" s="7" t="s">
        <v>159</v>
      </c>
      <c r="F82" s="7" t="s">
        <v>160</v>
      </c>
      <c r="G82" s="7" t="s">
        <v>67</v>
      </c>
      <c r="H82" s="7" t="n">
        <v>2</v>
      </c>
      <c r="I82" s="10" t="n">
        <v>89.99</v>
      </c>
      <c r="J82" s="7" t="s">
        <v>82</v>
      </c>
      <c r="K82" s="7" t="s">
        <v>83</v>
      </c>
      <c r="L82" s="7" t="s">
        <v>70</v>
      </c>
      <c r="M82" s="9" t="n">
        <v>44976</v>
      </c>
      <c r="N82" s="10" t="n">
        <v>179.98</v>
      </c>
      <c r="O82" s="9" t="n">
        <f aca="false">EOMONTH(B82,0)</f>
        <v>45504</v>
      </c>
      <c r="P82" s="7" t="n">
        <f aca="true">DATEDIF(B82,TODAY(),"m")</f>
        <v>26</v>
      </c>
      <c r="Q82" s="7" t="str">
        <f aca="false">IF(K82=Analysis!$B$16,COUNTIF($K$2:K82,Analysis!$B$16),"")</f>
        <v/>
      </c>
      <c r="R82" s="7" t="n">
        <f aca="false">IFERROR(DATEDIF(M82,B82,"m"),"")</f>
        <v>17</v>
      </c>
    </row>
    <row r="83" customFormat="false" ht="15" hidden="false" customHeight="false" outlineLevel="0" collapsed="false">
      <c r="A83" s="7" t="s">
        <v>256</v>
      </c>
      <c r="B83" s="9" t="n">
        <v>45503</v>
      </c>
      <c r="C83" s="7" t="s">
        <v>134</v>
      </c>
      <c r="D83" s="7" t="s">
        <v>135</v>
      </c>
      <c r="E83" s="7" t="s">
        <v>128</v>
      </c>
      <c r="F83" s="7" t="s">
        <v>129</v>
      </c>
      <c r="G83" s="7" t="s">
        <v>67</v>
      </c>
      <c r="H83" s="7" t="n">
        <v>2</v>
      </c>
      <c r="I83" s="10" t="n">
        <v>699.99</v>
      </c>
      <c r="J83" s="7" t="s">
        <v>74</v>
      </c>
      <c r="K83" s="7" t="s">
        <v>88</v>
      </c>
      <c r="L83" s="7" t="s">
        <v>75</v>
      </c>
      <c r="M83" s="9" t="n">
        <v>44999</v>
      </c>
      <c r="N83" s="10" t="n">
        <v>1399.98</v>
      </c>
      <c r="O83" s="9" t="n">
        <f aca="false">EOMONTH(B83,0)</f>
        <v>45504</v>
      </c>
      <c r="P83" s="7" t="n">
        <f aca="true">DATEDIF(B83,TODAY(),"m")</f>
        <v>26</v>
      </c>
      <c r="Q83" s="7" t="str">
        <f aca="false">IF(K83=Analysis!$B$16,COUNTIF($K$2:K83,Analysis!$B$16),"")</f>
        <v/>
      </c>
      <c r="R83" s="7" t="n">
        <f aca="false">IFERROR(DATEDIF(M83,B83,"m"),"")</f>
        <v>16</v>
      </c>
    </row>
    <row r="84" customFormat="false" ht="15" hidden="false" customHeight="false" outlineLevel="0" collapsed="false">
      <c r="A84" s="7" t="s">
        <v>257</v>
      </c>
      <c r="B84" s="9" t="n">
        <v>45504</v>
      </c>
      <c r="C84" s="7" t="s">
        <v>168</v>
      </c>
      <c r="D84" s="7" t="s">
        <v>169</v>
      </c>
      <c r="E84" s="7" t="s">
        <v>109</v>
      </c>
      <c r="F84" s="7" t="s">
        <v>110</v>
      </c>
      <c r="G84" s="7" t="s">
        <v>67</v>
      </c>
      <c r="H84" s="7" t="n">
        <v>4</v>
      </c>
      <c r="I84" s="10" t="n">
        <v>899.99</v>
      </c>
      <c r="J84" s="7" t="s">
        <v>105</v>
      </c>
      <c r="K84" s="7" t="s">
        <v>83</v>
      </c>
      <c r="L84" s="7" t="s">
        <v>84</v>
      </c>
      <c r="M84" s="9" t="n">
        <v>44523</v>
      </c>
      <c r="N84" s="10" t="n">
        <v>3599.96</v>
      </c>
      <c r="O84" s="9" t="n">
        <f aca="false">EOMONTH(B84,0)</f>
        <v>45504</v>
      </c>
      <c r="P84" s="7" t="n">
        <f aca="true">DATEDIF(B84,TODAY(),"m")</f>
        <v>26</v>
      </c>
      <c r="Q84" s="7" t="str">
        <f aca="false">IF(K84=Analysis!$B$16,COUNTIF($K$2:K84,Analysis!$B$16),"")</f>
        <v/>
      </c>
      <c r="R84" s="7" t="n">
        <f aca="false">IFERROR(DATEDIF(M84,B84,"m"),"")</f>
        <v>32</v>
      </c>
    </row>
    <row r="85" customFormat="false" ht="15" hidden="false" customHeight="false" outlineLevel="0" collapsed="false">
      <c r="A85" s="7" t="s">
        <v>258</v>
      </c>
      <c r="B85" s="9" t="n">
        <v>45509</v>
      </c>
      <c r="C85" s="7" t="s">
        <v>259</v>
      </c>
      <c r="D85" s="7" t="s">
        <v>260</v>
      </c>
      <c r="E85" s="7" t="s">
        <v>92</v>
      </c>
      <c r="F85" s="7" t="s">
        <v>93</v>
      </c>
      <c r="G85" s="7" t="s">
        <v>94</v>
      </c>
      <c r="H85" s="7" t="n">
        <v>2</v>
      </c>
      <c r="I85" s="10" t="n">
        <v>149.99</v>
      </c>
      <c r="J85" s="7" t="s">
        <v>74</v>
      </c>
      <c r="K85" s="7" t="s">
        <v>98</v>
      </c>
      <c r="L85" s="7" t="s">
        <v>70</v>
      </c>
      <c r="M85" s="9" t="n">
        <v>44542</v>
      </c>
      <c r="N85" s="10" t="n">
        <v>299.98</v>
      </c>
      <c r="O85" s="9" t="n">
        <f aca="false">EOMONTH(B85,0)</f>
        <v>45535</v>
      </c>
      <c r="P85" s="7" t="n">
        <f aca="true">DATEDIF(B85,TODAY(),"m")</f>
        <v>26</v>
      </c>
      <c r="Q85" s="7" t="str">
        <f aca="false">IF(K85=Analysis!$B$16,COUNTIF($K$2:K85,Analysis!$B$16),"")</f>
        <v/>
      </c>
      <c r="R85" s="7" t="n">
        <f aca="false">IFERROR(DATEDIF(M85,B85,"m"),"")</f>
        <v>31</v>
      </c>
    </row>
    <row r="86" customFormat="false" ht="15" hidden="false" customHeight="false" outlineLevel="0" collapsed="false">
      <c r="A86" s="7" t="s">
        <v>261</v>
      </c>
      <c r="B86" s="9" t="n">
        <v>45510</v>
      </c>
      <c r="C86" s="7" t="s">
        <v>150</v>
      </c>
      <c r="D86" s="7" t="s">
        <v>151</v>
      </c>
      <c r="E86" s="7" t="s">
        <v>92</v>
      </c>
      <c r="F86" s="7" t="s">
        <v>93</v>
      </c>
      <c r="G86" s="7" t="s">
        <v>94</v>
      </c>
      <c r="H86" s="7" t="n">
        <v>2</v>
      </c>
      <c r="I86" s="10" t="n">
        <v>149.99</v>
      </c>
      <c r="J86" s="7" t="s">
        <v>105</v>
      </c>
      <c r="K86" s="7" t="s">
        <v>111</v>
      </c>
      <c r="L86" s="7" t="s">
        <v>84</v>
      </c>
      <c r="M86" s="9" t="n">
        <v>44667</v>
      </c>
      <c r="N86" s="10" t="n">
        <v>299.98</v>
      </c>
      <c r="O86" s="9" t="n">
        <f aca="false">EOMONTH(B86,0)</f>
        <v>45535</v>
      </c>
      <c r="P86" s="7" t="n">
        <f aca="true">DATEDIF(B86,TODAY(),"m")</f>
        <v>26</v>
      </c>
      <c r="Q86" s="7" t="str">
        <f aca="false">IF(K86=Analysis!$B$16,COUNTIF($K$2:K86,Analysis!$B$16),"")</f>
        <v/>
      </c>
      <c r="R86" s="7" t="n">
        <f aca="false">IFERROR(DATEDIF(M86,B86,"m"),"")</f>
        <v>27</v>
      </c>
    </row>
    <row r="87" customFormat="false" ht="15" hidden="false" customHeight="false" outlineLevel="0" collapsed="false">
      <c r="A87" s="7" t="s">
        <v>262</v>
      </c>
      <c r="B87" s="9" t="n">
        <v>45513</v>
      </c>
      <c r="C87" s="7" t="s">
        <v>138</v>
      </c>
      <c r="D87" s="7" t="s">
        <v>139</v>
      </c>
      <c r="E87" s="7" t="s">
        <v>159</v>
      </c>
      <c r="F87" s="7" t="s">
        <v>160</v>
      </c>
      <c r="G87" s="7" t="s">
        <v>67</v>
      </c>
      <c r="H87" s="7" t="n">
        <v>1</v>
      </c>
      <c r="I87" s="10" t="n">
        <v>89.99</v>
      </c>
      <c r="J87" s="7" t="s">
        <v>74</v>
      </c>
      <c r="K87" s="7" t="s">
        <v>88</v>
      </c>
      <c r="L87" s="7" t="s">
        <v>84</v>
      </c>
      <c r="M87" s="9" t="n">
        <v>45393</v>
      </c>
      <c r="N87" s="10" t="n">
        <v>89.99</v>
      </c>
      <c r="O87" s="9" t="n">
        <f aca="false">EOMONTH(B87,0)</f>
        <v>45535</v>
      </c>
      <c r="P87" s="7" t="n">
        <f aca="true">DATEDIF(B87,TODAY(),"m")</f>
        <v>26</v>
      </c>
      <c r="Q87" s="7" t="str">
        <f aca="false">IF(K87=Analysis!$B$16,COUNTIF($K$2:K87,Analysis!$B$16),"")</f>
        <v/>
      </c>
      <c r="R87" s="7" t="n">
        <f aca="false">IFERROR(DATEDIF(M87,B87,"m"),"")</f>
        <v>3</v>
      </c>
    </row>
    <row r="88" customFormat="false" ht="15" hidden="false" customHeight="false" outlineLevel="0" collapsed="false">
      <c r="A88" s="7" t="s">
        <v>263</v>
      </c>
      <c r="B88" s="9" t="n">
        <v>45515</v>
      </c>
      <c r="C88" s="7" t="s">
        <v>134</v>
      </c>
      <c r="D88" s="7" t="s">
        <v>135</v>
      </c>
      <c r="E88" s="7" t="s">
        <v>153</v>
      </c>
      <c r="F88" s="7" t="s">
        <v>154</v>
      </c>
      <c r="G88" s="7" t="s">
        <v>94</v>
      </c>
      <c r="H88" s="7" t="n">
        <v>5</v>
      </c>
      <c r="I88" s="10" t="n">
        <v>299.99</v>
      </c>
      <c r="J88" s="7" t="s">
        <v>74</v>
      </c>
      <c r="K88" s="7" t="s">
        <v>88</v>
      </c>
      <c r="L88" s="7" t="s">
        <v>70</v>
      </c>
      <c r="M88" s="9" t="n">
        <v>44965</v>
      </c>
      <c r="N88" s="10" t="n">
        <v>1499.95</v>
      </c>
      <c r="O88" s="9" t="n">
        <f aca="false">EOMONTH(B88,0)</f>
        <v>45535</v>
      </c>
      <c r="P88" s="7" t="n">
        <f aca="true">DATEDIF(B88,TODAY(),"m")</f>
        <v>26</v>
      </c>
      <c r="Q88" s="7" t="str">
        <f aca="false">IF(K88=Analysis!$B$16,COUNTIF($K$2:K88,Analysis!$B$16),"")</f>
        <v/>
      </c>
      <c r="R88" s="7" t="n">
        <f aca="false">IFERROR(DATEDIF(M88,B88,"m"),"")</f>
        <v>18</v>
      </c>
    </row>
    <row r="89" customFormat="false" ht="15" hidden="false" customHeight="false" outlineLevel="0" collapsed="false">
      <c r="A89" s="7" t="s">
        <v>264</v>
      </c>
      <c r="B89" s="9" t="n">
        <v>45517</v>
      </c>
      <c r="C89" s="7" t="s">
        <v>230</v>
      </c>
      <c r="D89" s="7" t="s">
        <v>231</v>
      </c>
      <c r="E89" s="7" t="s">
        <v>100</v>
      </c>
      <c r="F89" s="7" t="s">
        <v>101</v>
      </c>
      <c r="G89" s="7" t="s">
        <v>67</v>
      </c>
      <c r="H89" s="7" t="n">
        <v>4</v>
      </c>
      <c r="I89" s="10" t="n">
        <v>149.99</v>
      </c>
      <c r="J89" s="7" t="s">
        <v>105</v>
      </c>
      <c r="K89" s="7" t="s">
        <v>83</v>
      </c>
      <c r="L89" s="7" t="s">
        <v>75</v>
      </c>
      <c r="M89" s="9" t="n">
        <v>44820</v>
      </c>
      <c r="N89" s="10" t="n">
        <v>599.96</v>
      </c>
      <c r="O89" s="9" t="n">
        <f aca="false">EOMONTH(B89,0)</f>
        <v>45535</v>
      </c>
      <c r="P89" s="7" t="n">
        <f aca="true">DATEDIF(B89,TODAY(),"m")</f>
        <v>25</v>
      </c>
      <c r="Q89" s="7" t="str">
        <f aca="false">IF(K89=Analysis!$B$16,COUNTIF($K$2:K89,Analysis!$B$16),"")</f>
        <v/>
      </c>
      <c r="R89" s="7" t="n">
        <f aca="false">IFERROR(DATEDIF(M89,B89,"m"),"")</f>
        <v>22</v>
      </c>
    </row>
    <row r="90" customFormat="false" ht="15" hidden="false" customHeight="false" outlineLevel="0" collapsed="false">
      <c r="A90" s="7" t="s">
        <v>265</v>
      </c>
      <c r="B90" s="9" t="n">
        <v>45517</v>
      </c>
      <c r="C90" s="7" t="s">
        <v>233</v>
      </c>
      <c r="D90" s="7" t="s">
        <v>234</v>
      </c>
      <c r="E90" s="7" t="s">
        <v>65</v>
      </c>
      <c r="F90" s="7" t="s">
        <v>66</v>
      </c>
      <c r="G90" s="7" t="s">
        <v>67</v>
      </c>
      <c r="H90" s="7" t="n">
        <v>5</v>
      </c>
      <c r="I90" s="10" t="n">
        <v>249.99</v>
      </c>
      <c r="J90" s="7" t="s">
        <v>82</v>
      </c>
      <c r="K90" s="7" t="s">
        <v>111</v>
      </c>
      <c r="L90" s="7" t="s">
        <v>75</v>
      </c>
      <c r="M90" s="9" t="n">
        <v>44782</v>
      </c>
      <c r="N90" s="10" t="n">
        <v>1249.95</v>
      </c>
      <c r="O90" s="9" t="n">
        <f aca="false">EOMONTH(B90,0)</f>
        <v>45535</v>
      </c>
      <c r="P90" s="7" t="n">
        <f aca="true">DATEDIF(B90,TODAY(),"m")</f>
        <v>25</v>
      </c>
      <c r="Q90" s="7" t="str">
        <f aca="false">IF(K90=Analysis!$B$16,COUNTIF($K$2:K90,Analysis!$B$16),"")</f>
        <v/>
      </c>
      <c r="R90" s="7" t="n">
        <f aca="false">IFERROR(DATEDIF(M90,B90,"m"),"")</f>
        <v>24</v>
      </c>
    </row>
    <row r="91" customFormat="false" ht="15" hidden="false" customHeight="false" outlineLevel="0" collapsed="false">
      <c r="A91" s="7" t="s">
        <v>266</v>
      </c>
      <c r="B91" s="9" t="n">
        <v>45517</v>
      </c>
      <c r="C91" s="7" t="s">
        <v>116</v>
      </c>
      <c r="D91" s="7" t="s">
        <v>117</v>
      </c>
      <c r="E91" s="7" t="s">
        <v>65</v>
      </c>
      <c r="F91" s="7" t="s">
        <v>66</v>
      </c>
      <c r="G91" s="7" t="s">
        <v>67</v>
      </c>
      <c r="H91" s="7" t="n">
        <v>3</v>
      </c>
      <c r="I91" s="10" t="n">
        <v>249.99</v>
      </c>
      <c r="J91" s="7" t="s">
        <v>82</v>
      </c>
      <c r="K91" s="7" t="s">
        <v>88</v>
      </c>
      <c r="L91" s="7" t="s">
        <v>75</v>
      </c>
      <c r="M91" s="9" t="n">
        <v>44465</v>
      </c>
      <c r="N91" s="10" t="n">
        <v>749.97</v>
      </c>
      <c r="O91" s="9" t="n">
        <f aca="false">EOMONTH(B91,0)</f>
        <v>45535</v>
      </c>
      <c r="P91" s="7" t="n">
        <f aca="true">DATEDIF(B91,TODAY(),"m")</f>
        <v>25</v>
      </c>
      <c r="Q91" s="7" t="str">
        <f aca="false">IF(K91=Analysis!$B$16,COUNTIF($K$2:K91,Analysis!$B$16),"")</f>
        <v/>
      </c>
      <c r="R91" s="7" t="n">
        <f aca="false">IFERROR(DATEDIF(M91,B91,"m"),"")</f>
        <v>34</v>
      </c>
    </row>
    <row r="92" customFormat="false" ht="15" hidden="false" customHeight="false" outlineLevel="0" collapsed="false">
      <c r="A92" s="7" t="s">
        <v>267</v>
      </c>
      <c r="B92" s="9" t="n">
        <v>45517</v>
      </c>
      <c r="C92" s="7" t="s">
        <v>86</v>
      </c>
      <c r="D92" s="7" t="s">
        <v>87</v>
      </c>
      <c r="E92" s="7" t="s">
        <v>171</v>
      </c>
      <c r="F92" s="7" t="s">
        <v>172</v>
      </c>
      <c r="G92" s="7" t="s">
        <v>94</v>
      </c>
      <c r="H92" s="7" t="n">
        <v>4</v>
      </c>
      <c r="I92" s="10" t="n">
        <v>199.99</v>
      </c>
      <c r="J92" s="7" t="s">
        <v>68</v>
      </c>
      <c r="K92" s="7" t="s">
        <v>88</v>
      </c>
      <c r="L92" s="7" t="s">
        <v>84</v>
      </c>
      <c r="M92" s="9" t="n">
        <v>44458</v>
      </c>
      <c r="N92" s="10" t="n">
        <v>799.96</v>
      </c>
      <c r="O92" s="9" t="n">
        <f aca="false">EOMONTH(B92,0)</f>
        <v>45535</v>
      </c>
      <c r="P92" s="7" t="n">
        <f aca="true">DATEDIF(B92,TODAY(),"m")</f>
        <v>25</v>
      </c>
      <c r="Q92" s="7" t="str">
        <f aca="false">IF(K92=Analysis!$B$16,COUNTIF($K$2:K92,Analysis!$B$16),"")</f>
        <v/>
      </c>
      <c r="R92" s="7" t="n">
        <f aca="false">IFERROR(DATEDIF(M92,B92,"m"),"")</f>
        <v>34</v>
      </c>
    </row>
    <row r="93" customFormat="false" ht="15" hidden="false" customHeight="false" outlineLevel="0" collapsed="false">
      <c r="A93" s="7" t="s">
        <v>268</v>
      </c>
      <c r="B93" s="9" t="n">
        <v>45519</v>
      </c>
      <c r="C93" s="7" t="s">
        <v>205</v>
      </c>
      <c r="D93" s="7" t="s">
        <v>206</v>
      </c>
      <c r="E93" s="7" t="s">
        <v>171</v>
      </c>
      <c r="F93" s="7" t="s">
        <v>172</v>
      </c>
      <c r="G93" s="7" t="s">
        <v>94</v>
      </c>
      <c r="H93" s="7" t="n">
        <v>5</v>
      </c>
      <c r="I93" s="10" t="n">
        <v>199.99</v>
      </c>
      <c r="J93" s="7" t="s">
        <v>68</v>
      </c>
      <c r="K93" s="7" t="s">
        <v>88</v>
      </c>
      <c r="L93" s="7" t="s">
        <v>75</v>
      </c>
      <c r="M93" s="9" t="n">
        <v>44991</v>
      </c>
      <c r="N93" s="10" t="n">
        <v>999.95</v>
      </c>
      <c r="O93" s="9" t="n">
        <f aca="false">EOMONTH(B93,0)</f>
        <v>45535</v>
      </c>
      <c r="P93" s="7" t="n">
        <f aca="true">DATEDIF(B93,TODAY(),"m")</f>
        <v>25</v>
      </c>
      <c r="Q93" s="7" t="str">
        <f aca="false">IF(K93=Analysis!$B$16,COUNTIF($K$2:K93,Analysis!$B$16),"")</f>
        <v/>
      </c>
      <c r="R93" s="7" t="n">
        <f aca="false">IFERROR(DATEDIF(M93,B93,"m"),"")</f>
        <v>17</v>
      </c>
    </row>
    <row r="94" customFormat="false" ht="15" hidden="false" customHeight="false" outlineLevel="0" collapsed="false">
      <c r="A94" s="7" t="s">
        <v>269</v>
      </c>
      <c r="B94" s="9" t="n">
        <v>45522</v>
      </c>
      <c r="C94" s="7" t="s">
        <v>134</v>
      </c>
      <c r="D94" s="7" t="s">
        <v>135</v>
      </c>
      <c r="E94" s="7" t="s">
        <v>159</v>
      </c>
      <c r="F94" s="7" t="s">
        <v>160</v>
      </c>
      <c r="G94" s="7" t="s">
        <v>67</v>
      </c>
      <c r="H94" s="7" t="n">
        <v>2</v>
      </c>
      <c r="I94" s="10" t="n">
        <v>89.99</v>
      </c>
      <c r="J94" s="7" t="s">
        <v>68</v>
      </c>
      <c r="K94" s="7" t="s">
        <v>111</v>
      </c>
      <c r="L94" s="7" t="s">
        <v>75</v>
      </c>
      <c r="M94" s="9" t="n">
        <v>44972</v>
      </c>
      <c r="N94" s="10" t="n">
        <v>179.98</v>
      </c>
      <c r="O94" s="9" t="n">
        <f aca="false">EOMONTH(B94,0)</f>
        <v>45535</v>
      </c>
      <c r="P94" s="7" t="n">
        <f aca="true">DATEDIF(B94,TODAY(),"m")</f>
        <v>25</v>
      </c>
      <c r="Q94" s="7" t="str">
        <f aca="false">IF(K94=Analysis!$B$16,COUNTIF($K$2:K94,Analysis!$B$16),"")</f>
        <v/>
      </c>
      <c r="R94" s="7" t="n">
        <f aca="false">IFERROR(DATEDIF(M94,B94,"m"),"")</f>
        <v>18</v>
      </c>
    </row>
    <row r="95" customFormat="false" ht="15" hidden="false" customHeight="false" outlineLevel="0" collapsed="false">
      <c r="A95" s="7" t="s">
        <v>270</v>
      </c>
      <c r="B95" s="9" t="n">
        <v>45523</v>
      </c>
      <c r="C95" s="7" t="s">
        <v>156</v>
      </c>
      <c r="D95" s="7" t="s">
        <v>157</v>
      </c>
      <c r="E95" s="7" t="s">
        <v>100</v>
      </c>
      <c r="F95" s="7" t="s">
        <v>101</v>
      </c>
      <c r="G95" s="7" t="s">
        <v>67</v>
      </c>
      <c r="H95" s="7" t="n">
        <v>3</v>
      </c>
      <c r="I95" s="10" t="n">
        <v>149.99</v>
      </c>
      <c r="J95" s="7" t="s">
        <v>82</v>
      </c>
      <c r="K95" s="7" t="s">
        <v>111</v>
      </c>
      <c r="L95" s="7" t="s">
        <v>70</v>
      </c>
      <c r="M95" s="9" t="n">
        <v>44574</v>
      </c>
      <c r="N95" s="10" t="n">
        <v>449.97</v>
      </c>
      <c r="O95" s="9" t="n">
        <f aca="false">EOMONTH(B95,0)</f>
        <v>45535</v>
      </c>
      <c r="P95" s="7" t="n">
        <f aca="true">DATEDIF(B95,TODAY(),"m")</f>
        <v>25</v>
      </c>
      <c r="Q95" s="7" t="str">
        <f aca="false">IF(K95=Analysis!$B$16,COUNTIF($K$2:K95,Analysis!$B$16),"")</f>
        <v/>
      </c>
      <c r="R95" s="7" t="n">
        <f aca="false">IFERROR(DATEDIF(M95,B95,"m"),"")</f>
        <v>31</v>
      </c>
    </row>
    <row r="96" customFormat="false" ht="15" hidden="false" customHeight="false" outlineLevel="0" collapsed="false">
      <c r="A96" s="7" t="s">
        <v>271</v>
      </c>
      <c r="B96" s="9" t="n">
        <v>45523</v>
      </c>
      <c r="C96" s="7" t="s">
        <v>244</v>
      </c>
      <c r="D96" s="7" t="s">
        <v>245</v>
      </c>
      <c r="E96" s="7" t="s">
        <v>109</v>
      </c>
      <c r="F96" s="7" t="s">
        <v>110</v>
      </c>
      <c r="G96" s="7" t="s">
        <v>67</v>
      </c>
      <c r="H96" s="7" t="n">
        <v>5</v>
      </c>
      <c r="I96" s="10" t="n">
        <v>899.99</v>
      </c>
      <c r="J96" s="7" t="s">
        <v>105</v>
      </c>
      <c r="K96" s="7" t="s">
        <v>111</v>
      </c>
      <c r="L96" s="7" t="s">
        <v>70</v>
      </c>
      <c r="M96" s="9" t="n">
        <v>44526</v>
      </c>
      <c r="N96" s="10" t="n">
        <v>4499.95</v>
      </c>
      <c r="O96" s="9" t="n">
        <f aca="false">EOMONTH(B96,0)</f>
        <v>45535</v>
      </c>
      <c r="P96" s="7" t="n">
        <f aca="true">DATEDIF(B96,TODAY(),"m")</f>
        <v>25</v>
      </c>
      <c r="Q96" s="7" t="str">
        <f aca="false">IF(K96=Analysis!$B$16,COUNTIF($K$2:K96,Analysis!$B$16),"")</f>
        <v/>
      </c>
      <c r="R96" s="7" t="n">
        <f aca="false">IFERROR(DATEDIF(M96,B96,"m"),"")</f>
        <v>32</v>
      </c>
    </row>
    <row r="97" customFormat="false" ht="15" hidden="false" customHeight="false" outlineLevel="0" collapsed="false">
      <c r="A97" s="7" t="s">
        <v>272</v>
      </c>
      <c r="B97" s="9" t="n">
        <v>45526</v>
      </c>
      <c r="C97" s="7" t="s">
        <v>150</v>
      </c>
      <c r="D97" s="7" t="s">
        <v>151</v>
      </c>
      <c r="E97" s="7" t="s">
        <v>92</v>
      </c>
      <c r="F97" s="7" t="s">
        <v>93</v>
      </c>
      <c r="G97" s="7" t="s">
        <v>94</v>
      </c>
      <c r="H97" s="7" t="n">
        <v>5</v>
      </c>
      <c r="I97" s="10" t="n">
        <v>149.99</v>
      </c>
      <c r="J97" s="7" t="s">
        <v>74</v>
      </c>
      <c r="K97" s="7" t="s">
        <v>69</v>
      </c>
      <c r="L97" s="7" t="s">
        <v>70</v>
      </c>
      <c r="M97" s="9" t="n">
        <v>45310</v>
      </c>
      <c r="N97" s="10" t="n">
        <v>749.95</v>
      </c>
      <c r="O97" s="9" t="n">
        <f aca="false">EOMONTH(B97,0)</f>
        <v>45535</v>
      </c>
      <c r="P97" s="7" t="n">
        <f aca="true">DATEDIF(B97,TODAY(),"m")</f>
        <v>25</v>
      </c>
      <c r="Q97" s="7" t="n">
        <f aca="false">IF(K97=Analysis!$B$16,COUNTIF($K$2:K97,Analysis!$B$16),"")</f>
        <v>15</v>
      </c>
      <c r="R97" s="7" t="n">
        <f aca="false">IFERROR(DATEDIF(M97,B97,"m"),"")</f>
        <v>7</v>
      </c>
    </row>
    <row r="98" customFormat="false" ht="15" hidden="false" customHeight="false" outlineLevel="0" collapsed="false">
      <c r="A98" s="7" t="s">
        <v>273</v>
      </c>
      <c r="B98" s="9" t="n">
        <v>45528</v>
      </c>
      <c r="C98" s="7" t="s">
        <v>274</v>
      </c>
      <c r="D98" s="7" t="s">
        <v>275</v>
      </c>
      <c r="E98" s="7" t="s">
        <v>165</v>
      </c>
      <c r="F98" s="7" t="s">
        <v>166</v>
      </c>
      <c r="G98" s="7" t="s">
        <v>81</v>
      </c>
      <c r="H98" s="7" t="n">
        <v>3</v>
      </c>
      <c r="I98" s="10" t="n">
        <v>79.99</v>
      </c>
      <c r="J98" s="7" t="s">
        <v>68</v>
      </c>
      <c r="K98" s="7" t="s">
        <v>69</v>
      </c>
      <c r="L98" s="7" t="s">
        <v>75</v>
      </c>
      <c r="M98" s="9" t="n">
        <v>44779</v>
      </c>
      <c r="N98" s="10" t="n">
        <v>239.97</v>
      </c>
      <c r="O98" s="9" t="n">
        <f aca="false">EOMONTH(B98,0)</f>
        <v>45535</v>
      </c>
      <c r="P98" s="7" t="n">
        <f aca="true">DATEDIF(B98,TODAY(),"m")</f>
        <v>25</v>
      </c>
      <c r="Q98" s="7" t="n">
        <f aca="false">IF(K98=Analysis!$B$16,COUNTIF($K$2:K98,Analysis!$B$16),"")</f>
        <v>16</v>
      </c>
      <c r="R98" s="7" t="n">
        <f aca="false">IFERROR(DATEDIF(M98,B98,"m"),"")</f>
        <v>24</v>
      </c>
    </row>
    <row r="99" customFormat="false" ht="15" hidden="false" customHeight="false" outlineLevel="0" collapsed="false">
      <c r="A99" s="7" t="s">
        <v>276</v>
      </c>
      <c r="B99" s="9" t="n">
        <v>45528</v>
      </c>
      <c r="C99" s="7" t="s">
        <v>192</v>
      </c>
      <c r="D99" s="7" t="s">
        <v>193</v>
      </c>
      <c r="E99" s="7" t="s">
        <v>65</v>
      </c>
      <c r="F99" s="7" t="s">
        <v>66</v>
      </c>
      <c r="G99" s="7" t="s">
        <v>67</v>
      </c>
      <c r="H99" s="7" t="n">
        <v>2</v>
      </c>
      <c r="I99" s="10" t="n">
        <v>249.99</v>
      </c>
      <c r="J99" s="7" t="s">
        <v>68</v>
      </c>
      <c r="K99" s="7" t="s">
        <v>83</v>
      </c>
      <c r="L99" s="7" t="s">
        <v>84</v>
      </c>
      <c r="M99" s="9" t="n">
        <v>44572</v>
      </c>
      <c r="N99" s="10" t="n">
        <v>499.98</v>
      </c>
      <c r="O99" s="9" t="n">
        <f aca="false">EOMONTH(B99,0)</f>
        <v>45535</v>
      </c>
      <c r="P99" s="7" t="n">
        <f aca="true">DATEDIF(B99,TODAY(),"m")</f>
        <v>25</v>
      </c>
      <c r="Q99" s="7" t="str">
        <f aca="false">IF(K99=Analysis!$B$16,COUNTIF($K$2:K99,Analysis!$B$16),"")</f>
        <v/>
      </c>
      <c r="R99" s="7" t="n">
        <f aca="false">IFERROR(DATEDIF(M99,B99,"m"),"")</f>
        <v>31</v>
      </c>
    </row>
    <row r="100" customFormat="false" ht="15" hidden="false" customHeight="false" outlineLevel="0" collapsed="false">
      <c r="A100" s="7" t="s">
        <v>277</v>
      </c>
      <c r="B100" s="9" t="n">
        <v>45532</v>
      </c>
      <c r="C100" s="7" t="s">
        <v>244</v>
      </c>
      <c r="D100" s="7" t="s">
        <v>245</v>
      </c>
      <c r="E100" s="7" t="s">
        <v>128</v>
      </c>
      <c r="F100" s="7" t="s">
        <v>129</v>
      </c>
      <c r="G100" s="7" t="s">
        <v>67</v>
      </c>
      <c r="H100" s="7" t="n">
        <v>1</v>
      </c>
      <c r="I100" s="10" t="n">
        <v>699.99</v>
      </c>
      <c r="J100" s="7" t="s">
        <v>68</v>
      </c>
      <c r="K100" s="7" t="s">
        <v>69</v>
      </c>
      <c r="L100" s="7" t="s">
        <v>75</v>
      </c>
      <c r="M100" s="9" t="n">
        <v>44497</v>
      </c>
      <c r="N100" s="10" t="n">
        <v>699.99</v>
      </c>
      <c r="O100" s="9" t="n">
        <f aca="false">EOMONTH(B100,0)</f>
        <v>45535</v>
      </c>
      <c r="P100" s="7" t="n">
        <f aca="true">DATEDIF(B100,TODAY(),"m")</f>
        <v>25</v>
      </c>
      <c r="Q100" s="7" t="n">
        <f aca="false">IF(K100=Analysis!$B$16,COUNTIF($K$2:K100,Analysis!$B$16),"")</f>
        <v>17</v>
      </c>
      <c r="R100" s="7" t="n">
        <f aca="false">IFERROR(DATEDIF(M100,B100,"m"),"")</f>
        <v>34</v>
      </c>
    </row>
    <row r="101" customFormat="false" ht="15" hidden="false" customHeight="false" outlineLevel="0" collapsed="false">
      <c r="A101" s="7" t="s">
        <v>278</v>
      </c>
      <c r="B101" s="9" t="n">
        <v>45532</v>
      </c>
      <c r="C101" s="7" t="s">
        <v>279</v>
      </c>
      <c r="D101" s="7" t="s">
        <v>280</v>
      </c>
      <c r="E101" s="7" t="s">
        <v>100</v>
      </c>
      <c r="F101" s="7" t="s">
        <v>101</v>
      </c>
      <c r="G101" s="7" t="s">
        <v>67</v>
      </c>
      <c r="H101" s="7" t="n">
        <v>3</v>
      </c>
      <c r="I101" s="10" t="n">
        <v>149.99</v>
      </c>
      <c r="J101" s="7" t="s">
        <v>68</v>
      </c>
      <c r="K101" s="7" t="s">
        <v>98</v>
      </c>
      <c r="L101" s="7" t="s">
        <v>75</v>
      </c>
      <c r="M101" s="9" t="n">
        <v>45212</v>
      </c>
      <c r="N101" s="10" t="n">
        <v>449.97</v>
      </c>
      <c r="O101" s="9" t="n">
        <f aca="false">EOMONTH(B101,0)</f>
        <v>45535</v>
      </c>
      <c r="P101" s="7" t="n">
        <f aca="true">DATEDIF(B101,TODAY(),"m")</f>
        <v>25</v>
      </c>
      <c r="Q101" s="7" t="str">
        <f aca="false">IF(K101=Analysis!$B$16,COUNTIF($K$2:K101,Analysis!$B$16),"")</f>
        <v/>
      </c>
      <c r="R101" s="7" t="n">
        <f aca="false">IFERROR(DATEDIF(M101,B101,"m"),"")</f>
        <v>10</v>
      </c>
    </row>
    <row r="102" customFormat="false" ht="15" hidden="false" customHeight="false" outlineLevel="0" collapsed="false">
      <c r="A102" s="7" t="s">
        <v>281</v>
      </c>
      <c r="B102" s="9" t="n">
        <v>45534</v>
      </c>
      <c r="C102" s="7" t="s">
        <v>282</v>
      </c>
      <c r="D102" s="7" t="s">
        <v>283</v>
      </c>
      <c r="E102" s="7" t="s">
        <v>128</v>
      </c>
      <c r="F102" s="7" t="s">
        <v>129</v>
      </c>
      <c r="G102" s="7" t="s">
        <v>67</v>
      </c>
      <c r="H102" s="7" t="n">
        <v>2</v>
      </c>
      <c r="I102" s="10" t="n">
        <v>699.99</v>
      </c>
      <c r="J102" s="7" t="s">
        <v>74</v>
      </c>
      <c r="K102" s="7" t="s">
        <v>88</v>
      </c>
      <c r="L102" s="7" t="s">
        <v>75</v>
      </c>
      <c r="M102" s="9" t="n">
        <v>44421</v>
      </c>
      <c r="N102" s="10" t="n">
        <v>1399.98</v>
      </c>
      <c r="O102" s="9" t="n">
        <f aca="false">EOMONTH(B102,0)</f>
        <v>45535</v>
      </c>
      <c r="P102" s="7" t="n">
        <f aca="true">DATEDIF(B102,TODAY(),"m")</f>
        <v>25</v>
      </c>
      <c r="Q102" s="7" t="str">
        <f aca="false">IF(K102=Analysis!$B$16,COUNTIF($K$2:K102,Analysis!$B$16),"")</f>
        <v/>
      </c>
      <c r="R102" s="7" t="n">
        <f aca="false">IFERROR(DATEDIF(M102,B102,"m"),"")</f>
        <v>36</v>
      </c>
    </row>
    <row r="103" customFormat="false" ht="15" hidden="false" customHeight="false" outlineLevel="0" collapsed="false">
      <c r="A103" s="7" t="s">
        <v>284</v>
      </c>
      <c r="B103" s="9" t="n">
        <v>45537</v>
      </c>
      <c r="C103" s="7" t="s">
        <v>63</v>
      </c>
      <c r="D103" s="7" t="s">
        <v>64</v>
      </c>
      <c r="E103" s="7" t="s">
        <v>65</v>
      </c>
      <c r="F103" s="7" t="s">
        <v>66</v>
      </c>
      <c r="G103" s="7" t="s">
        <v>67</v>
      </c>
      <c r="H103" s="7" t="n">
        <v>1</v>
      </c>
      <c r="I103" s="10" t="n">
        <v>249.99</v>
      </c>
      <c r="J103" s="7" t="s">
        <v>105</v>
      </c>
      <c r="K103" s="7" t="s">
        <v>88</v>
      </c>
      <c r="L103" s="7" t="s">
        <v>75</v>
      </c>
      <c r="M103" s="9" t="n">
        <v>45332</v>
      </c>
      <c r="N103" s="10" t="n">
        <v>249.99</v>
      </c>
      <c r="O103" s="9" t="n">
        <f aca="false">EOMONTH(B103,0)</f>
        <v>45565</v>
      </c>
      <c r="P103" s="7" t="n">
        <f aca="true">DATEDIF(B103,TODAY(),"m")</f>
        <v>25</v>
      </c>
      <c r="Q103" s="7" t="str">
        <f aca="false">IF(K103=Analysis!$B$16,COUNTIF($K$2:K103,Analysis!$B$16),"")</f>
        <v/>
      </c>
      <c r="R103" s="7" t="n">
        <f aca="false">IFERROR(DATEDIF(M103,B103,"m"),"")</f>
        <v>6</v>
      </c>
    </row>
    <row r="104" customFormat="false" ht="15" hidden="false" customHeight="false" outlineLevel="0" collapsed="false">
      <c r="A104" s="7" t="s">
        <v>285</v>
      </c>
      <c r="B104" s="9" t="n">
        <v>45537</v>
      </c>
      <c r="C104" s="7" t="s">
        <v>279</v>
      </c>
      <c r="D104" s="7" t="s">
        <v>280</v>
      </c>
      <c r="E104" s="7" t="s">
        <v>65</v>
      </c>
      <c r="F104" s="7" t="s">
        <v>66</v>
      </c>
      <c r="G104" s="7" t="s">
        <v>67</v>
      </c>
      <c r="H104" s="7" t="n">
        <v>1</v>
      </c>
      <c r="I104" s="10" t="n">
        <v>249.99</v>
      </c>
      <c r="J104" s="7" t="s">
        <v>74</v>
      </c>
      <c r="K104" s="7" t="s">
        <v>98</v>
      </c>
      <c r="L104" s="7" t="s">
        <v>75</v>
      </c>
      <c r="M104" s="9" t="n">
        <v>44685</v>
      </c>
      <c r="N104" s="10" t="n">
        <v>249.99</v>
      </c>
      <c r="O104" s="9" t="n">
        <f aca="false">EOMONTH(B104,0)</f>
        <v>45565</v>
      </c>
      <c r="P104" s="7" t="n">
        <f aca="true">DATEDIF(B104,TODAY(),"m")</f>
        <v>25</v>
      </c>
      <c r="Q104" s="7" t="str">
        <f aca="false">IF(K104=Analysis!$B$16,COUNTIF($K$2:K104,Analysis!$B$16),"")</f>
        <v/>
      </c>
      <c r="R104" s="7" t="n">
        <f aca="false">IFERROR(DATEDIF(M104,B104,"m"),"")</f>
        <v>27</v>
      </c>
    </row>
    <row r="105" customFormat="false" ht="15" hidden="false" customHeight="false" outlineLevel="0" collapsed="false">
      <c r="A105" s="7" t="s">
        <v>286</v>
      </c>
      <c r="B105" s="9" t="n">
        <v>45538</v>
      </c>
      <c r="C105" s="7" t="s">
        <v>274</v>
      </c>
      <c r="D105" s="7" t="s">
        <v>275</v>
      </c>
      <c r="E105" s="7" t="s">
        <v>128</v>
      </c>
      <c r="F105" s="7" t="s">
        <v>129</v>
      </c>
      <c r="G105" s="7" t="s">
        <v>67</v>
      </c>
      <c r="H105" s="7" t="n">
        <v>2</v>
      </c>
      <c r="I105" s="10" t="n">
        <v>699.99</v>
      </c>
      <c r="J105" s="7" t="s">
        <v>105</v>
      </c>
      <c r="K105" s="7" t="s">
        <v>69</v>
      </c>
      <c r="L105" s="7" t="s">
        <v>75</v>
      </c>
      <c r="M105" s="9" t="n">
        <v>44870</v>
      </c>
      <c r="N105" s="10" t="n">
        <v>1399.98</v>
      </c>
      <c r="O105" s="9" t="n">
        <f aca="false">EOMONTH(B105,0)</f>
        <v>45565</v>
      </c>
      <c r="P105" s="7" t="n">
        <f aca="true">DATEDIF(B105,TODAY(),"m")</f>
        <v>25</v>
      </c>
      <c r="Q105" s="7" t="n">
        <f aca="false">IF(K105=Analysis!$B$16,COUNTIF($K$2:K105,Analysis!$B$16),"")</f>
        <v>18</v>
      </c>
      <c r="R105" s="7" t="n">
        <f aca="false">IFERROR(DATEDIF(M105,B105,"m"),"")</f>
        <v>21</v>
      </c>
    </row>
    <row r="106" customFormat="false" ht="15" hidden="false" customHeight="false" outlineLevel="0" collapsed="false">
      <c r="A106" s="7" t="s">
        <v>287</v>
      </c>
      <c r="B106" s="9" t="n">
        <v>45541</v>
      </c>
      <c r="C106" s="7" t="s">
        <v>186</v>
      </c>
      <c r="D106" s="7" t="s">
        <v>187</v>
      </c>
      <c r="E106" s="7" t="s">
        <v>79</v>
      </c>
      <c r="F106" s="7" t="s">
        <v>80</v>
      </c>
      <c r="G106" s="7" t="s">
        <v>81</v>
      </c>
      <c r="H106" s="7" t="n">
        <v>3</v>
      </c>
      <c r="I106" s="10" t="n">
        <v>59.99</v>
      </c>
      <c r="J106" s="7" t="s">
        <v>74</v>
      </c>
      <c r="K106" s="7" t="s">
        <v>69</v>
      </c>
      <c r="L106" s="7" t="s">
        <v>75</v>
      </c>
      <c r="M106" s="9" t="n">
        <v>44717</v>
      </c>
      <c r="N106" s="10" t="n">
        <v>179.97</v>
      </c>
      <c r="O106" s="9" t="n">
        <f aca="false">EOMONTH(B106,0)</f>
        <v>45565</v>
      </c>
      <c r="P106" s="7" t="n">
        <f aca="true">DATEDIF(B106,TODAY(),"m")</f>
        <v>25</v>
      </c>
      <c r="Q106" s="7" t="n">
        <f aca="false">IF(K106=Analysis!$B$16,COUNTIF($K$2:K106,Analysis!$B$16),"")</f>
        <v>19</v>
      </c>
      <c r="R106" s="7" t="n">
        <f aca="false">IFERROR(DATEDIF(M106,B106,"m"),"")</f>
        <v>27</v>
      </c>
    </row>
    <row r="107" customFormat="false" ht="15" hidden="false" customHeight="false" outlineLevel="0" collapsed="false">
      <c r="A107" s="7" t="s">
        <v>288</v>
      </c>
      <c r="B107" s="9" t="n">
        <v>45544</v>
      </c>
      <c r="C107" s="7" t="s">
        <v>189</v>
      </c>
      <c r="D107" s="7" t="s">
        <v>190</v>
      </c>
      <c r="E107" s="7" t="s">
        <v>165</v>
      </c>
      <c r="F107" s="7" t="s">
        <v>166</v>
      </c>
      <c r="G107" s="7" t="s">
        <v>81</v>
      </c>
      <c r="H107" s="7" t="n">
        <v>4</v>
      </c>
      <c r="I107" s="10" t="n">
        <v>79.99</v>
      </c>
      <c r="J107" s="7" t="s">
        <v>68</v>
      </c>
      <c r="K107" s="7" t="s">
        <v>88</v>
      </c>
      <c r="L107" s="7" t="s">
        <v>70</v>
      </c>
      <c r="M107" s="9" t="n">
        <v>44530</v>
      </c>
      <c r="N107" s="10" t="n">
        <v>319.96</v>
      </c>
      <c r="O107" s="9" t="n">
        <f aca="false">EOMONTH(B107,0)</f>
        <v>45565</v>
      </c>
      <c r="P107" s="7" t="n">
        <f aca="true">DATEDIF(B107,TODAY(),"m")</f>
        <v>25</v>
      </c>
      <c r="Q107" s="7" t="str">
        <f aca="false">IF(K107=Analysis!$B$16,COUNTIF($K$2:K107,Analysis!$B$16),"")</f>
        <v/>
      </c>
      <c r="R107" s="7" t="n">
        <f aca="false">IFERROR(DATEDIF(M107,B107,"m"),"")</f>
        <v>33</v>
      </c>
    </row>
    <row r="108" customFormat="false" ht="15" hidden="false" customHeight="false" outlineLevel="0" collapsed="false">
      <c r="A108" s="7" t="s">
        <v>289</v>
      </c>
      <c r="B108" s="9" t="n">
        <v>45544</v>
      </c>
      <c r="C108" s="7" t="s">
        <v>180</v>
      </c>
      <c r="D108" s="7" t="s">
        <v>181</v>
      </c>
      <c r="E108" s="7" t="s">
        <v>79</v>
      </c>
      <c r="F108" s="7" t="s">
        <v>80</v>
      </c>
      <c r="G108" s="7" t="s">
        <v>81</v>
      </c>
      <c r="H108" s="7" t="n">
        <v>3</v>
      </c>
      <c r="I108" s="10" t="n">
        <v>59.99</v>
      </c>
      <c r="J108" s="7" t="s">
        <v>82</v>
      </c>
      <c r="K108" s="7" t="s">
        <v>111</v>
      </c>
      <c r="L108" s="7" t="s">
        <v>84</v>
      </c>
      <c r="M108" s="9" t="n">
        <v>44748</v>
      </c>
      <c r="N108" s="10" t="n">
        <v>179.97</v>
      </c>
      <c r="O108" s="9" t="n">
        <f aca="false">EOMONTH(B108,0)</f>
        <v>45565</v>
      </c>
      <c r="P108" s="7" t="n">
        <f aca="true">DATEDIF(B108,TODAY(),"m")</f>
        <v>25</v>
      </c>
      <c r="Q108" s="7" t="str">
        <f aca="false">IF(K108=Analysis!$B$16,COUNTIF($K$2:K108,Analysis!$B$16),"")</f>
        <v/>
      </c>
      <c r="R108" s="7" t="n">
        <f aca="false">IFERROR(DATEDIF(M108,B108,"m"),"")</f>
        <v>26</v>
      </c>
    </row>
    <row r="109" customFormat="false" ht="15" hidden="false" customHeight="false" outlineLevel="0" collapsed="false">
      <c r="A109" s="7" t="s">
        <v>290</v>
      </c>
      <c r="B109" s="9" t="n">
        <v>45545</v>
      </c>
      <c r="C109" s="7" t="s">
        <v>103</v>
      </c>
      <c r="D109" s="7" t="s">
        <v>104</v>
      </c>
      <c r="E109" s="7" t="s">
        <v>165</v>
      </c>
      <c r="F109" s="7" t="s">
        <v>166</v>
      </c>
      <c r="G109" s="7" t="s">
        <v>81</v>
      </c>
      <c r="H109" s="7" t="n">
        <v>1</v>
      </c>
      <c r="I109" s="10" t="n">
        <v>79.99</v>
      </c>
      <c r="J109" s="7" t="s">
        <v>68</v>
      </c>
      <c r="K109" s="7" t="s">
        <v>98</v>
      </c>
      <c r="L109" s="7" t="s">
        <v>70</v>
      </c>
      <c r="M109" s="9" t="n">
        <v>44693</v>
      </c>
      <c r="N109" s="10" t="n">
        <v>79.99</v>
      </c>
      <c r="O109" s="9" t="n">
        <f aca="false">EOMONTH(B109,0)</f>
        <v>45565</v>
      </c>
      <c r="P109" s="7" t="n">
        <f aca="true">DATEDIF(B109,TODAY(),"m")</f>
        <v>25</v>
      </c>
      <c r="Q109" s="7" t="str">
        <f aca="false">IF(K109=Analysis!$B$16,COUNTIF($K$2:K109,Analysis!$B$16),"")</f>
        <v/>
      </c>
      <c r="R109" s="7" t="n">
        <f aca="false">IFERROR(DATEDIF(M109,B109,"m"),"")</f>
        <v>27</v>
      </c>
    </row>
    <row r="110" customFormat="false" ht="15" hidden="false" customHeight="false" outlineLevel="0" collapsed="false">
      <c r="A110" s="7" t="s">
        <v>291</v>
      </c>
      <c r="B110" s="9" t="n">
        <v>45547</v>
      </c>
      <c r="C110" s="7" t="s">
        <v>96</v>
      </c>
      <c r="D110" s="7" t="s">
        <v>97</v>
      </c>
      <c r="E110" s="7" t="s">
        <v>153</v>
      </c>
      <c r="F110" s="7" t="s">
        <v>154</v>
      </c>
      <c r="G110" s="7" t="s">
        <v>94</v>
      </c>
      <c r="H110" s="7" t="n">
        <v>3</v>
      </c>
      <c r="I110" s="10" t="n">
        <v>299.99</v>
      </c>
      <c r="J110" s="7" t="s">
        <v>74</v>
      </c>
      <c r="K110" s="7" t="s">
        <v>69</v>
      </c>
      <c r="L110" s="7" t="s">
        <v>75</v>
      </c>
      <c r="M110" s="9" t="n">
        <v>44494</v>
      </c>
      <c r="N110" s="10" t="n">
        <v>899.97</v>
      </c>
      <c r="O110" s="9" t="n">
        <f aca="false">EOMONTH(B110,0)</f>
        <v>45565</v>
      </c>
      <c r="P110" s="7" t="n">
        <f aca="true">DATEDIF(B110,TODAY(),"m")</f>
        <v>25</v>
      </c>
      <c r="Q110" s="7" t="n">
        <f aca="false">IF(K110=Analysis!$B$16,COUNTIF($K$2:K110,Analysis!$B$16),"")</f>
        <v>20</v>
      </c>
      <c r="R110" s="7" t="n">
        <f aca="false">IFERROR(DATEDIF(M110,B110,"m"),"")</f>
        <v>34</v>
      </c>
    </row>
    <row r="111" customFormat="false" ht="15" hidden="false" customHeight="false" outlineLevel="0" collapsed="false">
      <c r="A111" s="7" t="s">
        <v>292</v>
      </c>
      <c r="B111" s="9" t="n">
        <v>45548</v>
      </c>
      <c r="C111" s="7" t="s">
        <v>86</v>
      </c>
      <c r="D111" s="7" t="s">
        <v>87</v>
      </c>
      <c r="E111" s="7" t="s">
        <v>159</v>
      </c>
      <c r="F111" s="7" t="s">
        <v>160</v>
      </c>
      <c r="G111" s="7" t="s">
        <v>67</v>
      </c>
      <c r="H111" s="7" t="n">
        <v>2</v>
      </c>
      <c r="I111" s="10" t="n">
        <v>89.99</v>
      </c>
      <c r="J111" s="7" t="s">
        <v>74</v>
      </c>
      <c r="K111" s="7" t="s">
        <v>83</v>
      </c>
      <c r="L111" s="7" t="s">
        <v>75</v>
      </c>
      <c r="M111" s="9" t="n">
        <v>44641</v>
      </c>
      <c r="N111" s="10" t="n">
        <v>179.98</v>
      </c>
      <c r="O111" s="9" t="n">
        <f aca="false">EOMONTH(B111,0)</f>
        <v>45565</v>
      </c>
      <c r="P111" s="7" t="n">
        <f aca="true">DATEDIF(B111,TODAY(),"m")</f>
        <v>24</v>
      </c>
      <c r="Q111" s="7" t="str">
        <f aca="false">IF(K111=Analysis!$B$16,COUNTIF($K$2:K111,Analysis!$B$16),"")</f>
        <v/>
      </c>
      <c r="R111" s="7" t="n">
        <f aca="false">IFERROR(DATEDIF(M111,B111,"m"),"")</f>
        <v>29</v>
      </c>
    </row>
    <row r="112" customFormat="false" ht="15" hidden="false" customHeight="false" outlineLevel="0" collapsed="false">
      <c r="A112" s="7" t="s">
        <v>293</v>
      </c>
      <c r="B112" s="9" t="n">
        <v>45550</v>
      </c>
      <c r="C112" s="7" t="s">
        <v>294</v>
      </c>
      <c r="D112" s="7" t="s">
        <v>295</v>
      </c>
      <c r="E112" s="7" t="s">
        <v>100</v>
      </c>
      <c r="F112" s="7" t="s">
        <v>101</v>
      </c>
      <c r="G112" s="7" t="s">
        <v>67</v>
      </c>
      <c r="H112" s="7" t="n">
        <v>4</v>
      </c>
      <c r="I112" s="10" t="n">
        <v>149.99</v>
      </c>
      <c r="J112" s="7" t="s">
        <v>68</v>
      </c>
      <c r="K112" s="7" t="s">
        <v>88</v>
      </c>
      <c r="L112" s="7" t="s">
        <v>70</v>
      </c>
      <c r="M112" s="9" t="n">
        <v>44909</v>
      </c>
      <c r="N112" s="10" t="n">
        <v>599.96</v>
      </c>
      <c r="O112" s="9" t="n">
        <f aca="false">EOMONTH(B112,0)</f>
        <v>45565</v>
      </c>
      <c r="P112" s="7" t="n">
        <f aca="true">DATEDIF(B112,TODAY(),"m")</f>
        <v>24</v>
      </c>
      <c r="Q112" s="7" t="str">
        <f aca="false">IF(K112=Analysis!$B$16,COUNTIF($K$2:K112,Analysis!$B$16),"")</f>
        <v/>
      </c>
      <c r="R112" s="7" t="n">
        <f aca="false">IFERROR(DATEDIF(M112,B112,"m"),"")</f>
        <v>21</v>
      </c>
    </row>
    <row r="113" customFormat="false" ht="15" hidden="false" customHeight="false" outlineLevel="0" collapsed="false">
      <c r="A113" s="7" t="s">
        <v>296</v>
      </c>
      <c r="B113" s="9" t="n">
        <v>45551</v>
      </c>
      <c r="C113" s="7" t="s">
        <v>202</v>
      </c>
      <c r="D113" s="7" t="s">
        <v>203</v>
      </c>
      <c r="E113" s="7" t="s">
        <v>171</v>
      </c>
      <c r="F113" s="7" t="s">
        <v>172</v>
      </c>
      <c r="G113" s="7" t="s">
        <v>94</v>
      </c>
      <c r="H113" s="7" t="n">
        <v>4</v>
      </c>
      <c r="I113" s="10" t="n">
        <v>199.99</v>
      </c>
      <c r="J113" s="7" t="s">
        <v>105</v>
      </c>
      <c r="K113" s="7" t="s">
        <v>111</v>
      </c>
      <c r="L113" s="7" t="s">
        <v>70</v>
      </c>
      <c r="M113" s="9" t="n">
        <v>44458</v>
      </c>
      <c r="N113" s="10" t="n">
        <v>799.96</v>
      </c>
      <c r="O113" s="9" t="n">
        <f aca="false">EOMONTH(B113,0)</f>
        <v>45565</v>
      </c>
      <c r="P113" s="7" t="n">
        <f aca="true">DATEDIF(B113,TODAY(),"m")</f>
        <v>24</v>
      </c>
      <c r="Q113" s="7" t="str">
        <f aca="false">IF(K113=Analysis!$B$16,COUNTIF($K$2:K113,Analysis!$B$16),"")</f>
        <v/>
      </c>
      <c r="R113" s="7" t="n">
        <f aca="false">IFERROR(DATEDIF(M113,B113,"m"),"")</f>
        <v>35</v>
      </c>
    </row>
    <row r="114" customFormat="false" ht="15" hidden="false" customHeight="false" outlineLevel="0" collapsed="false">
      <c r="A114" s="7" t="s">
        <v>297</v>
      </c>
      <c r="B114" s="9" t="n">
        <v>45551</v>
      </c>
      <c r="C114" s="7" t="s">
        <v>116</v>
      </c>
      <c r="D114" s="7" t="s">
        <v>117</v>
      </c>
      <c r="E114" s="7" t="s">
        <v>65</v>
      </c>
      <c r="F114" s="7" t="s">
        <v>66</v>
      </c>
      <c r="G114" s="7" t="s">
        <v>67</v>
      </c>
      <c r="H114" s="7" t="n">
        <v>2</v>
      </c>
      <c r="I114" s="10" t="n">
        <v>249.99</v>
      </c>
      <c r="J114" s="7" t="s">
        <v>82</v>
      </c>
      <c r="K114" s="7" t="s">
        <v>83</v>
      </c>
      <c r="L114" s="7" t="s">
        <v>70</v>
      </c>
      <c r="M114" s="9" t="n">
        <v>44993</v>
      </c>
      <c r="N114" s="10" t="n">
        <v>499.98</v>
      </c>
      <c r="O114" s="9" t="n">
        <f aca="false">EOMONTH(B114,0)</f>
        <v>45565</v>
      </c>
      <c r="P114" s="7" t="n">
        <f aca="true">DATEDIF(B114,TODAY(),"m")</f>
        <v>24</v>
      </c>
      <c r="Q114" s="7" t="str">
        <f aca="false">IF(K114=Analysis!$B$16,COUNTIF($K$2:K114,Analysis!$B$16),"")</f>
        <v/>
      </c>
      <c r="R114" s="7" t="n">
        <f aca="false">IFERROR(DATEDIF(M114,B114,"m"),"")</f>
        <v>18</v>
      </c>
    </row>
    <row r="115" customFormat="false" ht="15" hidden="false" customHeight="false" outlineLevel="0" collapsed="false">
      <c r="A115" s="7" t="s">
        <v>298</v>
      </c>
      <c r="B115" s="9" t="n">
        <v>45554</v>
      </c>
      <c r="C115" s="7" t="s">
        <v>195</v>
      </c>
      <c r="D115" s="7" t="s">
        <v>196</v>
      </c>
      <c r="E115" s="7" t="s">
        <v>159</v>
      </c>
      <c r="F115" s="7" t="s">
        <v>160</v>
      </c>
      <c r="G115" s="7" t="s">
        <v>67</v>
      </c>
      <c r="H115" s="7" t="n">
        <v>5</v>
      </c>
      <c r="I115" s="10" t="n">
        <v>89.99</v>
      </c>
      <c r="J115" s="7" t="s">
        <v>74</v>
      </c>
      <c r="K115" s="7" t="s">
        <v>111</v>
      </c>
      <c r="L115" s="7" t="s">
        <v>75</v>
      </c>
      <c r="M115" s="9" t="n">
        <v>44446</v>
      </c>
      <c r="N115" s="10" t="n">
        <v>449.95</v>
      </c>
      <c r="O115" s="9" t="n">
        <f aca="false">EOMONTH(B115,0)</f>
        <v>45565</v>
      </c>
      <c r="P115" s="7" t="n">
        <f aca="true">DATEDIF(B115,TODAY(),"m")</f>
        <v>24</v>
      </c>
      <c r="Q115" s="7" t="str">
        <f aca="false">IF(K115=Analysis!$B$16,COUNTIF($K$2:K115,Analysis!$B$16),"")</f>
        <v/>
      </c>
      <c r="R115" s="7" t="n">
        <f aca="false">IFERROR(DATEDIF(M115,B115,"m"),"")</f>
        <v>36</v>
      </c>
    </row>
    <row r="116" customFormat="false" ht="15" hidden="false" customHeight="false" outlineLevel="0" collapsed="false">
      <c r="A116" s="7" t="s">
        <v>299</v>
      </c>
      <c r="B116" s="9" t="n">
        <v>45554</v>
      </c>
      <c r="C116" s="7" t="s">
        <v>300</v>
      </c>
      <c r="D116" s="7" t="s">
        <v>301</v>
      </c>
      <c r="E116" s="7" t="s">
        <v>100</v>
      </c>
      <c r="F116" s="7" t="s">
        <v>101</v>
      </c>
      <c r="G116" s="7" t="s">
        <v>67</v>
      </c>
      <c r="H116" s="7" t="n">
        <v>1</v>
      </c>
      <c r="I116" s="10" t="n">
        <v>149.99</v>
      </c>
      <c r="J116" s="7" t="s">
        <v>82</v>
      </c>
      <c r="K116" s="7" t="s">
        <v>111</v>
      </c>
      <c r="L116" s="7" t="s">
        <v>84</v>
      </c>
      <c r="M116" s="9" t="n">
        <v>44482</v>
      </c>
      <c r="N116" s="10" t="n">
        <v>149.99</v>
      </c>
      <c r="O116" s="9" t="n">
        <f aca="false">EOMONTH(B116,0)</f>
        <v>45565</v>
      </c>
      <c r="P116" s="7" t="n">
        <f aca="true">DATEDIF(B116,TODAY(),"m")</f>
        <v>24</v>
      </c>
      <c r="Q116" s="7" t="str">
        <f aca="false">IF(K116=Analysis!$B$16,COUNTIF($K$2:K116,Analysis!$B$16),"")</f>
        <v/>
      </c>
      <c r="R116" s="7" t="n">
        <f aca="false">IFERROR(DATEDIF(M116,B116,"m"),"")</f>
        <v>35</v>
      </c>
    </row>
    <row r="117" customFormat="false" ht="15" hidden="false" customHeight="false" outlineLevel="0" collapsed="false">
      <c r="A117" s="7" t="s">
        <v>302</v>
      </c>
      <c r="B117" s="9" t="n">
        <v>45554</v>
      </c>
      <c r="C117" s="7" t="s">
        <v>120</v>
      </c>
      <c r="D117" s="7" t="s">
        <v>121</v>
      </c>
      <c r="E117" s="7" t="s">
        <v>128</v>
      </c>
      <c r="F117" s="7" t="s">
        <v>129</v>
      </c>
      <c r="G117" s="7" t="s">
        <v>67</v>
      </c>
      <c r="H117" s="7" t="n">
        <v>4</v>
      </c>
      <c r="I117" s="10" t="n">
        <v>699.99</v>
      </c>
      <c r="J117" s="7" t="s">
        <v>82</v>
      </c>
      <c r="K117" s="7" t="s">
        <v>83</v>
      </c>
      <c r="L117" s="7" t="s">
        <v>70</v>
      </c>
      <c r="M117" s="9" t="n">
        <v>44618</v>
      </c>
      <c r="N117" s="10" t="n">
        <v>2799.96</v>
      </c>
      <c r="O117" s="9" t="n">
        <f aca="false">EOMONTH(B117,0)</f>
        <v>45565</v>
      </c>
      <c r="P117" s="7" t="n">
        <f aca="true">DATEDIF(B117,TODAY(),"m")</f>
        <v>24</v>
      </c>
      <c r="Q117" s="7" t="str">
        <f aca="false">IF(K117=Analysis!$B$16,COUNTIF($K$2:K117,Analysis!$B$16),"")</f>
        <v/>
      </c>
      <c r="R117" s="7" t="n">
        <f aca="false">IFERROR(DATEDIF(M117,B117,"m"),"")</f>
        <v>30</v>
      </c>
    </row>
    <row r="118" customFormat="false" ht="15" hidden="false" customHeight="false" outlineLevel="0" collapsed="false">
      <c r="A118" s="7" t="s">
        <v>303</v>
      </c>
      <c r="B118" s="9" t="n">
        <v>45559</v>
      </c>
      <c r="C118" s="7" t="s">
        <v>282</v>
      </c>
      <c r="D118" s="7" t="s">
        <v>283</v>
      </c>
      <c r="E118" s="7" t="s">
        <v>109</v>
      </c>
      <c r="F118" s="7" t="s">
        <v>110</v>
      </c>
      <c r="G118" s="7" t="s">
        <v>67</v>
      </c>
      <c r="H118" s="7" t="n">
        <v>3</v>
      </c>
      <c r="I118" s="10" t="n">
        <v>899.99</v>
      </c>
      <c r="J118" s="7" t="s">
        <v>74</v>
      </c>
      <c r="K118" s="7" t="s">
        <v>88</v>
      </c>
      <c r="L118" s="7" t="s">
        <v>84</v>
      </c>
      <c r="M118" s="9" t="n">
        <v>45157</v>
      </c>
      <c r="N118" s="10" t="n">
        <v>2699.97</v>
      </c>
      <c r="O118" s="9" t="n">
        <f aca="false">EOMONTH(B118,0)</f>
        <v>45565</v>
      </c>
      <c r="P118" s="7" t="n">
        <f aca="true">DATEDIF(B118,TODAY(),"m")</f>
        <v>24</v>
      </c>
      <c r="Q118" s="7" t="str">
        <f aca="false">IF(K118=Analysis!$B$16,COUNTIF($K$2:K118,Analysis!$B$16),"")</f>
        <v/>
      </c>
      <c r="R118" s="7" t="n">
        <f aca="false">IFERROR(DATEDIF(M118,B118,"m"),"")</f>
        <v>13</v>
      </c>
    </row>
    <row r="119" customFormat="false" ht="15" hidden="false" customHeight="false" outlineLevel="0" collapsed="false">
      <c r="A119" s="7" t="s">
        <v>304</v>
      </c>
      <c r="B119" s="9" t="n">
        <v>45560</v>
      </c>
      <c r="C119" s="7" t="s">
        <v>163</v>
      </c>
      <c r="D119" s="7" t="s">
        <v>164</v>
      </c>
      <c r="E119" s="7" t="s">
        <v>92</v>
      </c>
      <c r="F119" s="7" t="s">
        <v>93</v>
      </c>
      <c r="G119" s="7" t="s">
        <v>94</v>
      </c>
      <c r="H119" s="7" t="n">
        <v>3</v>
      </c>
      <c r="I119" s="10" t="n">
        <v>149.99</v>
      </c>
      <c r="J119" s="7" t="s">
        <v>82</v>
      </c>
      <c r="K119" s="7" t="s">
        <v>111</v>
      </c>
      <c r="L119" s="7" t="s">
        <v>70</v>
      </c>
      <c r="M119" s="9" t="n">
        <v>44886</v>
      </c>
      <c r="N119" s="10" t="n">
        <v>449.97</v>
      </c>
      <c r="O119" s="9" t="n">
        <f aca="false">EOMONTH(B119,0)</f>
        <v>45565</v>
      </c>
      <c r="P119" s="7" t="n">
        <f aca="true">DATEDIF(B119,TODAY(),"m")</f>
        <v>24</v>
      </c>
      <c r="Q119" s="7" t="str">
        <f aca="false">IF(K119=Analysis!$B$16,COUNTIF($K$2:K119,Analysis!$B$16),"")</f>
        <v/>
      </c>
      <c r="R119" s="7" t="n">
        <f aca="false">IFERROR(DATEDIF(M119,B119,"m"),"")</f>
        <v>22</v>
      </c>
    </row>
    <row r="120" customFormat="false" ht="15" hidden="false" customHeight="false" outlineLevel="0" collapsed="false">
      <c r="A120" s="7" t="s">
        <v>305</v>
      </c>
      <c r="B120" s="9" t="n">
        <v>45563</v>
      </c>
      <c r="C120" s="7" t="s">
        <v>147</v>
      </c>
      <c r="D120" s="7" t="s">
        <v>148</v>
      </c>
      <c r="E120" s="7" t="s">
        <v>153</v>
      </c>
      <c r="F120" s="7" t="s">
        <v>154</v>
      </c>
      <c r="G120" s="7" t="s">
        <v>94</v>
      </c>
      <c r="H120" s="7" t="n">
        <v>2</v>
      </c>
      <c r="I120" s="10" t="n">
        <v>299.99</v>
      </c>
      <c r="J120" s="7" t="s">
        <v>105</v>
      </c>
      <c r="K120" s="7" t="s">
        <v>69</v>
      </c>
      <c r="L120" s="7" t="s">
        <v>70</v>
      </c>
      <c r="M120" s="9" t="n">
        <v>44569</v>
      </c>
      <c r="N120" s="10" t="n">
        <v>599.98</v>
      </c>
      <c r="O120" s="9" t="n">
        <f aca="false">EOMONTH(B120,0)</f>
        <v>45565</v>
      </c>
      <c r="P120" s="7" t="n">
        <f aca="true">DATEDIF(B120,TODAY(),"m")</f>
        <v>24</v>
      </c>
      <c r="Q120" s="7" t="n">
        <f aca="false">IF(K120=Analysis!$B$16,COUNTIF($K$2:K120,Analysis!$B$16),"")</f>
        <v>21</v>
      </c>
      <c r="R120" s="7" t="n">
        <f aca="false">IFERROR(DATEDIF(M120,B120,"m"),"")</f>
        <v>32</v>
      </c>
    </row>
    <row r="121" customFormat="false" ht="15" hidden="false" customHeight="false" outlineLevel="0" collapsed="false">
      <c r="A121" s="7" t="s">
        <v>306</v>
      </c>
      <c r="B121" s="9" t="n">
        <v>45564</v>
      </c>
      <c r="C121" s="7" t="s">
        <v>307</v>
      </c>
      <c r="D121" s="7" t="s">
        <v>308</v>
      </c>
      <c r="E121" s="7" t="s">
        <v>171</v>
      </c>
      <c r="F121" s="7" t="s">
        <v>172</v>
      </c>
      <c r="G121" s="7" t="s">
        <v>94</v>
      </c>
      <c r="H121" s="7" t="n">
        <v>1</v>
      </c>
      <c r="I121" s="10" t="n">
        <v>199.99</v>
      </c>
      <c r="J121" s="7" t="s">
        <v>105</v>
      </c>
      <c r="K121" s="7" t="s">
        <v>111</v>
      </c>
      <c r="L121" s="7" t="s">
        <v>84</v>
      </c>
      <c r="M121" s="9" t="n">
        <v>44953</v>
      </c>
      <c r="N121" s="10" t="n">
        <v>199.99</v>
      </c>
      <c r="O121" s="9" t="n">
        <f aca="false">EOMONTH(B121,0)</f>
        <v>45565</v>
      </c>
      <c r="P121" s="7" t="n">
        <f aca="true">DATEDIF(B121,TODAY(),"m")</f>
        <v>24</v>
      </c>
      <c r="Q121" s="7" t="str">
        <f aca="false">IF(K121=Analysis!$B$16,COUNTIF($K$2:K121,Analysis!$B$16),"")</f>
        <v/>
      </c>
      <c r="R121" s="7" t="n">
        <f aca="false">IFERROR(DATEDIF(M121,B121,"m"),"")</f>
        <v>20</v>
      </c>
    </row>
    <row r="122" customFormat="false" ht="15" hidden="false" customHeight="false" outlineLevel="0" collapsed="false">
      <c r="A122" s="7" t="s">
        <v>309</v>
      </c>
      <c r="B122" s="9" t="n">
        <v>45566</v>
      </c>
      <c r="C122" s="7" t="s">
        <v>90</v>
      </c>
      <c r="D122" s="7" t="s">
        <v>91</v>
      </c>
      <c r="E122" s="7" t="s">
        <v>153</v>
      </c>
      <c r="F122" s="7" t="s">
        <v>154</v>
      </c>
      <c r="G122" s="7" t="s">
        <v>94</v>
      </c>
      <c r="H122" s="7" t="n">
        <v>4</v>
      </c>
      <c r="I122" s="10" t="n">
        <v>299.99</v>
      </c>
      <c r="J122" s="7" t="s">
        <v>68</v>
      </c>
      <c r="K122" s="7" t="s">
        <v>69</v>
      </c>
      <c r="L122" s="7" t="s">
        <v>75</v>
      </c>
      <c r="M122" s="9" t="n">
        <v>44460</v>
      </c>
      <c r="N122" s="10" t="n">
        <v>1199.96</v>
      </c>
      <c r="O122" s="9" t="n">
        <f aca="false">EOMONTH(B122,0)</f>
        <v>45596</v>
      </c>
      <c r="P122" s="7" t="n">
        <f aca="true">DATEDIF(B122,TODAY(),"m")</f>
        <v>24</v>
      </c>
      <c r="Q122" s="7" t="n">
        <f aca="false">IF(K122=Analysis!$B$16,COUNTIF($K$2:K122,Analysis!$B$16),"")</f>
        <v>22</v>
      </c>
      <c r="R122" s="7" t="n">
        <f aca="false">IFERROR(DATEDIF(M122,B122,"m"),"")</f>
        <v>36</v>
      </c>
    </row>
    <row r="123" customFormat="false" ht="15" hidden="false" customHeight="false" outlineLevel="0" collapsed="false">
      <c r="A123" s="7" t="s">
        <v>310</v>
      </c>
      <c r="B123" s="9" t="n">
        <v>45572</v>
      </c>
      <c r="C123" s="7" t="s">
        <v>138</v>
      </c>
      <c r="D123" s="7" t="s">
        <v>139</v>
      </c>
      <c r="E123" s="7" t="s">
        <v>79</v>
      </c>
      <c r="F123" s="7" t="s">
        <v>80</v>
      </c>
      <c r="G123" s="7" t="s">
        <v>81</v>
      </c>
      <c r="H123" s="7" t="n">
        <v>2</v>
      </c>
      <c r="I123" s="10" t="n">
        <v>59.99</v>
      </c>
      <c r="J123" s="7" t="s">
        <v>74</v>
      </c>
      <c r="K123" s="7" t="s">
        <v>69</v>
      </c>
      <c r="L123" s="7" t="s">
        <v>70</v>
      </c>
      <c r="M123" s="9" t="n">
        <v>44579</v>
      </c>
      <c r="N123" s="10" t="n">
        <v>119.98</v>
      </c>
      <c r="O123" s="9" t="n">
        <f aca="false">EOMONTH(B123,0)</f>
        <v>45596</v>
      </c>
      <c r="P123" s="7" t="n">
        <f aca="true">DATEDIF(B123,TODAY(),"m")</f>
        <v>24</v>
      </c>
      <c r="Q123" s="7" t="n">
        <f aca="false">IF(K123=Analysis!$B$16,COUNTIF($K$2:K123,Analysis!$B$16),"")</f>
        <v>23</v>
      </c>
      <c r="R123" s="7" t="n">
        <f aca="false">IFERROR(DATEDIF(M123,B123,"m"),"")</f>
        <v>32</v>
      </c>
    </row>
    <row r="124" customFormat="false" ht="15" hidden="false" customHeight="false" outlineLevel="0" collapsed="false">
      <c r="A124" s="7" t="s">
        <v>311</v>
      </c>
      <c r="B124" s="9" t="n">
        <v>45572</v>
      </c>
      <c r="C124" s="7" t="s">
        <v>282</v>
      </c>
      <c r="D124" s="7" t="s">
        <v>283</v>
      </c>
      <c r="E124" s="7" t="s">
        <v>100</v>
      </c>
      <c r="F124" s="7" t="s">
        <v>101</v>
      </c>
      <c r="G124" s="7" t="s">
        <v>67</v>
      </c>
      <c r="H124" s="7" t="n">
        <v>4</v>
      </c>
      <c r="I124" s="10" t="n">
        <v>149.99</v>
      </c>
      <c r="J124" s="7" t="s">
        <v>74</v>
      </c>
      <c r="K124" s="7" t="s">
        <v>88</v>
      </c>
      <c r="L124" s="7" t="s">
        <v>75</v>
      </c>
      <c r="M124" s="9" t="n">
        <v>45076</v>
      </c>
      <c r="N124" s="10" t="n">
        <v>599.96</v>
      </c>
      <c r="O124" s="9" t="n">
        <f aca="false">EOMONTH(B124,0)</f>
        <v>45596</v>
      </c>
      <c r="P124" s="7" t="n">
        <f aca="true">DATEDIF(B124,TODAY(),"m")</f>
        <v>24</v>
      </c>
      <c r="Q124" s="7" t="str">
        <f aca="false">IF(K124=Analysis!$B$16,COUNTIF($K$2:K124,Analysis!$B$16),"")</f>
        <v/>
      </c>
      <c r="R124" s="7" t="n">
        <f aca="false">IFERROR(DATEDIF(M124,B124,"m"),"")</f>
        <v>16</v>
      </c>
    </row>
    <row r="125" customFormat="false" ht="15" hidden="false" customHeight="false" outlineLevel="0" collapsed="false">
      <c r="A125" s="7" t="s">
        <v>312</v>
      </c>
      <c r="B125" s="9" t="n">
        <v>45573</v>
      </c>
      <c r="C125" s="7" t="s">
        <v>259</v>
      </c>
      <c r="D125" s="7" t="s">
        <v>260</v>
      </c>
      <c r="E125" s="7" t="s">
        <v>128</v>
      </c>
      <c r="F125" s="7" t="s">
        <v>129</v>
      </c>
      <c r="G125" s="7" t="s">
        <v>67</v>
      </c>
      <c r="H125" s="7" t="n">
        <v>2</v>
      </c>
      <c r="I125" s="10" t="n">
        <v>699.99</v>
      </c>
      <c r="J125" s="7" t="s">
        <v>105</v>
      </c>
      <c r="K125" s="7" t="s">
        <v>111</v>
      </c>
      <c r="L125" s="7" t="s">
        <v>75</v>
      </c>
      <c r="M125" s="9" t="n">
        <v>45274</v>
      </c>
      <c r="N125" s="10" t="n">
        <v>1399.98</v>
      </c>
      <c r="O125" s="9" t="n">
        <f aca="false">EOMONTH(B125,0)</f>
        <v>45596</v>
      </c>
      <c r="P125" s="7" t="n">
        <f aca="true">DATEDIF(B125,TODAY(),"m")</f>
        <v>24</v>
      </c>
      <c r="Q125" s="7" t="str">
        <f aca="false">IF(K125=Analysis!$B$16,COUNTIF($K$2:K125,Analysis!$B$16),"")</f>
        <v/>
      </c>
      <c r="R125" s="7" t="n">
        <f aca="false">IFERROR(DATEDIF(M125,B125,"m"),"")</f>
        <v>9</v>
      </c>
    </row>
    <row r="126" customFormat="false" ht="15" hidden="false" customHeight="false" outlineLevel="0" collapsed="false">
      <c r="A126" s="7" t="s">
        <v>313</v>
      </c>
      <c r="B126" s="9" t="n">
        <v>45573</v>
      </c>
      <c r="C126" s="7" t="s">
        <v>279</v>
      </c>
      <c r="D126" s="7" t="s">
        <v>280</v>
      </c>
      <c r="E126" s="7" t="s">
        <v>92</v>
      </c>
      <c r="F126" s="7" t="s">
        <v>93</v>
      </c>
      <c r="G126" s="7" t="s">
        <v>94</v>
      </c>
      <c r="H126" s="7" t="n">
        <v>3</v>
      </c>
      <c r="I126" s="10" t="n">
        <v>149.99</v>
      </c>
      <c r="J126" s="7" t="s">
        <v>74</v>
      </c>
      <c r="K126" s="7" t="s">
        <v>83</v>
      </c>
      <c r="L126" s="7" t="s">
        <v>84</v>
      </c>
      <c r="M126" s="9" t="n">
        <v>44940</v>
      </c>
      <c r="N126" s="10" t="n">
        <v>449.97</v>
      </c>
      <c r="O126" s="9" t="n">
        <f aca="false">EOMONTH(B126,0)</f>
        <v>45596</v>
      </c>
      <c r="P126" s="7" t="n">
        <f aca="true">DATEDIF(B126,TODAY(),"m")</f>
        <v>24</v>
      </c>
      <c r="Q126" s="7" t="str">
        <f aca="false">IF(K126=Analysis!$B$16,COUNTIF($K$2:K126,Analysis!$B$16),"")</f>
        <v/>
      </c>
      <c r="R126" s="7" t="n">
        <f aca="false">IFERROR(DATEDIF(M126,B126,"m"),"")</f>
        <v>20</v>
      </c>
    </row>
    <row r="127" customFormat="false" ht="15" hidden="false" customHeight="false" outlineLevel="0" collapsed="false">
      <c r="A127" s="7" t="s">
        <v>314</v>
      </c>
      <c r="B127" s="9" t="n">
        <v>45576</v>
      </c>
      <c r="C127" s="7" t="s">
        <v>195</v>
      </c>
      <c r="D127" s="7" t="s">
        <v>196</v>
      </c>
      <c r="E127" s="7" t="s">
        <v>153</v>
      </c>
      <c r="F127" s="7" t="s">
        <v>154</v>
      </c>
      <c r="G127" s="7" t="s">
        <v>94</v>
      </c>
      <c r="H127" s="7" t="n">
        <v>3</v>
      </c>
      <c r="I127" s="10" t="n">
        <v>299.99</v>
      </c>
      <c r="J127" s="7" t="s">
        <v>74</v>
      </c>
      <c r="K127" s="7" t="s">
        <v>69</v>
      </c>
      <c r="L127" s="7" t="s">
        <v>84</v>
      </c>
      <c r="M127" s="9" t="n">
        <v>45174</v>
      </c>
      <c r="N127" s="10" t="n">
        <v>899.97</v>
      </c>
      <c r="O127" s="9" t="n">
        <f aca="false">EOMONTH(B127,0)</f>
        <v>45596</v>
      </c>
      <c r="P127" s="7" t="n">
        <f aca="true">DATEDIF(B127,TODAY(),"m")</f>
        <v>24</v>
      </c>
      <c r="Q127" s="7" t="n">
        <f aca="false">IF(K127=Analysis!$B$16,COUNTIF($K$2:K127,Analysis!$B$16),"")</f>
        <v>24</v>
      </c>
      <c r="R127" s="7" t="n">
        <f aca="false">IFERROR(DATEDIF(M127,B127,"m"),"")</f>
        <v>13</v>
      </c>
    </row>
    <row r="128" customFormat="false" ht="15" hidden="false" customHeight="false" outlineLevel="0" collapsed="false">
      <c r="A128" s="7" t="s">
        <v>315</v>
      </c>
      <c r="B128" s="9" t="n">
        <v>45579</v>
      </c>
      <c r="C128" s="7" t="s">
        <v>131</v>
      </c>
      <c r="D128" s="7" t="s">
        <v>132</v>
      </c>
      <c r="E128" s="7" t="s">
        <v>109</v>
      </c>
      <c r="F128" s="7" t="s">
        <v>110</v>
      </c>
      <c r="G128" s="7" t="s">
        <v>67</v>
      </c>
      <c r="H128" s="7" t="n">
        <v>3</v>
      </c>
      <c r="I128" s="10" t="n">
        <v>899.99</v>
      </c>
      <c r="J128" s="7" t="s">
        <v>82</v>
      </c>
      <c r="K128" s="7" t="s">
        <v>98</v>
      </c>
      <c r="L128" s="7" t="s">
        <v>70</v>
      </c>
      <c r="M128" s="9" t="n">
        <v>45215</v>
      </c>
      <c r="N128" s="10" t="n">
        <v>2699.97</v>
      </c>
      <c r="O128" s="9" t="n">
        <f aca="false">EOMONTH(B128,0)</f>
        <v>45596</v>
      </c>
      <c r="P128" s="7" t="n">
        <f aca="true">DATEDIF(B128,TODAY(),"m")</f>
        <v>23</v>
      </c>
      <c r="Q128" s="7" t="str">
        <f aca="false">IF(K128=Analysis!$B$16,COUNTIF($K$2:K128,Analysis!$B$16),"")</f>
        <v/>
      </c>
      <c r="R128" s="7" t="n">
        <f aca="false">IFERROR(DATEDIF(M128,B128,"m"),"")</f>
        <v>11</v>
      </c>
    </row>
    <row r="129" customFormat="false" ht="15" hidden="false" customHeight="false" outlineLevel="0" collapsed="false">
      <c r="A129" s="7" t="s">
        <v>316</v>
      </c>
      <c r="B129" s="9" t="n">
        <v>45581</v>
      </c>
      <c r="C129" s="7" t="s">
        <v>219</v>
      </c>
      <c r="D129" s="7" t="s">
        <v>220</v>
      </c>
      <c r="E129" s="7" t="s">
        <v>128</v>
      </c>
      <c r="F129" s="7" t="s">
        <v>129</v>
      </c>
      <c r="G129" s="7" t="s">
        <v>67</v>
      </c>
      <c r="H129" s="7" t="n">
        <v>4</v>
      </c>
      <c r="I129" s="10" t="n">
        <v>699.99</v>
      </c>
      <c r="J129" s="7" t="s">
        <v>74</v>
      </c>
      <c r="K129" s="7" t="s">
        <v>69</v>
      </c>
      <c r="L129" s="7" t="s">
        <v>70</v>
      </c>
      <c r="M129" s="9" t="n">
        <v>45385</v>
      </c>
      <c r="N129" s="10" t="n">
        <v>2799.96</v>
      </c>
      <c r="O129" s="9" t="n">
        <f aca="false">EOMONTH(B129,0)</f>
        <v>45596</v>
      </c>
      <c r="P129" s="7" t="n">
        <f aca="true">DATEDIF(B129,TODAY(),"m")</f>
        <v>23</v>
      </c>
      <c r="Q129" s="7" t="n">
        <f aca="false">IF(K129=Analysis!$B$16,COUNTIF($K$2:K129,Analysis!$B$16),"")</f>
        <v>25</v>
      </c>
      <c r="R129" s="7" t="n">
        <f aca="false">IFERROR(DATEDIF(M129,B129,"m"),"")</f>
        <v>6</v>
      </c>
    </row>
    <row r="130" customFormat="false" ht="15" hidden="false" customHeight="false" outlineLevel="0" collapsed="false">
      <c r="A130" s="7" t="s">
        <v>317</v>
      </c>
      <c r="B130" s="9" t="n">
        <v>45581</v>
      </c>
      <c r="C130" s="7" t="s">
        <v>144</v>
      </c>
      <c r="D130" s="7" t="s">
        <v>145</v>
      </c>
      <c r="E130" s="7" t="s">
        <v>128</v>
      </c>
      <c r="F130" s="7" t="s">
        <v>129</v>
      </c>
      <c r="G130" s="7" t="s">
        <v>67</v>
      </c>
      <c r="H130" s="7" t="n">
        <v>5</v>
      </c>
      <c r="I130" s="10" t="n">
        <v>699.99</v>
      </c>
      <c r="J130" s="7" t="s">
        <v>68</v>
      </c>
      <c r="K130" s="7" t="s">
        <v>111</v>
      </c>
      <c r="L130" s="7" t="s">
        <v>84</v>
      </c>
      <c r="M130" s="9" t="n">
        <v>45008</v>
      </c>
      <c r="N130" s="10" t="n">
        <v>3499.95</v>
      </c>
      <c r="O130" s="9" t="n">
        <f aca="false">EOMONTH(B130,0)</f>
        <v>45596</v>
      </c>
      <c r="P130" s="7" t="n">
        <f aca="true">DATEDIF(B130,TODAY(),"m")</f>
        <v>23</v>
      </c>
      <c r="Q130" s="7" t="str">
        <f aca="false">IF(K130=Analysis!$B$16,COUNTIF($K$2:K130,Analysis!$B$16),"")</f>
        <v/>
      </c>
      <c r="R130" s="7" t="n">
        <f aca="false">IFERROR(DATEDIF(M130,B130,"m"),"")</f>
        <v>18</v>
      </c>
    </row>
    <row r="131" customFormat="false" ht="15" hidden="false" customHeight="false" outlineLevel="0" collapsed="false">
      <c r="A131" s="7" t="s">
        <v>318</v>
      </c>
      <c r="B131" s="9" t="n">
        <v>45581</v>
      </c>
      <c r="C131" s="7" t="s">
        <v>199</v>
      </c>
      <c r="D131" s="7" t="s">
        <v>200</v>
      </c>
      <c r="E131" s="7" t="s">
        <v>109</v>
      </c>
      <c r="F131" s="7" t="s">
        <v>110</v>
      </c>
      <c r="G131" s="7" t="s">
        <v>67</v>
      </c>
      <c r="H131" s="7" t="n">
        <v>1</v>
      </c>
      <c r="I131" s="10" t="n">
        <v>899.99</v>
      </c>
      <c r="J131" s="7" t="s">
        <v>74</v>
      </c>
      <c r="K131" s="7" t="s">
        <v>111</v>
      </c>
      <c r="L131" s="7" t="s">
        <v>84</v>
      </c>
      <c r="M131" s="9" t="n">
        <v>45369</v>
      </c>
      <c r="N131" s="10" t="n">
        <v>899.99</v>
      </c>
      <c r="O131" s="9" t="n">
        <f aca="false">EOMONTH(B131,0)</f>
        <v>45596</v>
      </c>
      <c r="P131" s="7" t="n">
        <f aca="true">DATEDIF(B131,TODAY(),"m")</f>
        <v>23</v>
      </c>
      <c r="Q131" s="7" t="str">
        <f aca="false">IF(K131=Analysis!$B$16,COUNTIF($K$2:K131,Analysis!$B$16),"")</f>
        <v/>
      </c>
      <c r="R131" s="7" t="n">
        <f aca="false">IFERROR(DATEDIF(M131,B131,"m"),"")</f>
        <v>6</v>
      </c>
    </row>
    <row r="132" customFormat="false" ht="15" hidden="false" customHeight="false" outlineLevel="0" collapsed="false">
      <c r="A132" s="7" t="s">
        <v>319</v>
      </c>
      <c r="B132" s="9" t="n">
        <v>45583</v>
      </c>
      <c r="C132" s="7" t="s">
        <v>274</v>
      </c>
      <c r="D132" s="7" t="s">
        <v>275</v>
      </c>
      <c r="E132" s="7" t="s">
        <v>100</v>
      </c>
      <c r="F132" s="7" t="s">
        <v>101</v>
      </c>
      <c r="G132" s="7" t="s">
        <v>67</v>
      </c>
      <c r="H132" s="7" t="n">
        <v>2</v>
      </c>
      <c r="I132" s="10" t="n">
        <v>149.99</v>
      </c>
      <c r="J132" s="7" t="s">
        <v>74</v>
      </c>
      <c r="K132" s="7" t="s">
        <v>98</v>
      </c>
      <c r="L132" s="7" t="s">
        <v>70</v>
      </c>
      <c r="M132" s="9" t="n">
        <v>44916</v>
      </c>
      <c r="N132" s="10" t="n">
        <v>299.98</v>
      </c>
      <c r="O132" s="9" t="n">
        <f aca="false">EOMONTH(B132,0)</f>
        <v>45596</v>
      </c>
      <c r="P132" s="7" t="n">
        <f aca="true">DATEDIF(B132,TODAY(),"m")</f>
        <v>23</v>
      </c>
      <c r="Q132" s="7" t="str">
        <f aca="false">IF(K132=Analysis!$B$16,COUNTIF($K$2:K132,Analysis!$B$16),"")</f>
        <v/>
      </c>
      <c r="R132" s="7" t="n">
        <f aca="false">IFERROR(DATEDIF(M132,B132,"m"),"")</f>
        <v>21</v>
      </c>
    </row>
    <row r="133" customFormat="false" ht="15" hidden="false" customHeight="false" outlineLevel="0" collapsed="false">
      <c r="A133" s="7" t="s">
        <v>320</v>
      </c>
      <c r="B133" s="9" t="n">
        <v>45586</v>
      </c>
      <c r="C133" s="7" t="s">
        <v>274</v>
      </c>
      <c r="D133" s="7" t="s">
        <v>275</v>
      </c>
      <c r="E133" s="7" t="s">
        <v>159</v>
      </c>
      <c r="F133" s="7" t="s">
        <v>160</v>
      </c>
      <c r="G133" s="7" t="s">
        <v>67</v>
      </c>
      <c r="H133" s="7" t="n">
        <v>3</v>
      </c>
      <c r="I133" s="10" t="n">
        <v>89.99</v>
      </c>
      <c r="J133" s="7" t="s">
        <v>82</v>
      </c>
      <c r="K133" s="7" t="s">
        <v>69</v>
      </c>
      <c r="L133" s="7" t="s">
        <v>70</v>
      </c>
      <c r="M133" s="9" t="n">
        <v>44551</v>
      </c>
      <c r="N133" s="10" t="n">
        <v>269.97</v>
      </c>
      <c r="O133" s="9" t="n">
        <f aca="false">EOMONTH(B133,0)</f>
        <v>45596</v>
      </c>
      <c r="P133" s="7" t="n">
        <f aca="true">DATEDIF(B133,TODAY(),"m")</f>
        <v>23</v>
      </c>
      <c r="Q133" s="7" t="n">
        <f aca="false">IF(K133=Analysis!$B$16,COUNTIF($K$2:K133,Analysis!$B$16),"")</f>
        <v>26</v>
      </c>
      <c r="R133" s="7" t="n">
        <f aca="false">IFERROR(DATEDIF(M133,B133,"m"),"")</f>
        <v>34</v>
      </c>
    </row>
    <row r="134" customFormat="false" ht="15" hidden="false" customHeight="false" outlineLevel="0" collapsed="false">
      <c r="A134" s="7" t="s">
        <v>321</v>
      </c>
      <c r="B134" s="9" t="n">
        <v>45588</v>
      </c>
      <c r="C134" s="7" t="s">
        <v>202</v>
      </c>
      <c r="D134" s="7" t="s">
        <v>203</v>
      </c>
      <c r="E134" s="7" t="s">
        <v>128</v>
      </c>
      <c r="F134" s="7" t="s">
        <v>129</v>
      </c>
      <c r="G134" s="7" t="s">
        <v>67</v>
      </c>
      <c r="H134" s="7" t="n">
        <v>2</v>
      </c>
      <c r="I134" s="10" t="n">
        <v>699.99</v>
      </c>
      <c r="J134" s="7" t="s">
        <v>68</v>
      </c>
      <c r="K134" s="7" t="s">
        <v>69</v>
      </c>
      <c r="L134" s="7" t="s">
        <v>70</v>
      </c>
      <c r="M134" s="9" t="n">
        <v>44992</v>
      </c>
      <c r="N134" s="10" t="n">
        <v>1399.98</v>
      </c>
      <c r="O134" s="9" t="n">
        <f aca="false">EOMONTH(B134,0)</f>
        <v>45596</v>
      </c>
      <c r="P134" s="7" t="n">
        <f aca="true">DATEDIF(B134,TODAY(),"m")</f>
        <v>23</v>
      </c>
      <c r="Q134" s="7" t="n">
        <f aca="false">IF(K134=Analysis!$B$16,COUNTIF($K$2:K134,Analysis!$B$16),"")</f>
        <v>27</v>
      </c>
      <c r="R134" s="7" t="n">
        <f aca="false">IFERROR(DATEDIF(M134,B134,"m"),"")</f>
        <v>19</v>
      </c>
    </row>
    <row r="135" customFormat="false" ht="15" hidden="false" customHeight="false" outlineLevel="0" collapsed="false">
      <c r="A135" s="7" t="s">
        <v>322</v>
      </c>
      <c r="B135" s="9" t="n">
        <v>45588</v>
      </c>
      <c r="C135" s="7" t="s">
        <v>86</v>
      </c>
      <c r="D135" s="7" t="s">
        <v>87</v>
      </c>
      <c r="E135" s="7" t="s">
        <v>100</v>
      </c>
      <c r="F135" s="7" t="s">
        <v>101</v>
      </c>
      <c r="G135" s="7" t="s">
        <v>67</v>
      </c>
      <c r="H135" s="7" t="n">
        <v>2</v>
      </c>
      <c r="I135" s="10" t="n">
        <v>149.99</v>
      </c>
      <c r="J135" s="7" t="s">
        <v>82</v>
      </c>
      <c r="K135" s="7" t="s">
        <v>69</v>
      </c>
      <c r="L135" s="7" t="s">
        <v>70</v>
      </c>
      <c r="M135" s="9" t="n">
        <v>44473</v>
      </c>
      <c r="N135" s="10" t="n">
        <v>299.98</v>
      </c>
      <c r="O135" s="9" t="n">
        <f aca="false">EOMONTH(B135,0)</f>
        <v>45596</v>
      </c>
      <c r="P135" s="7" t="n">
        <f aca="true">DATEDIF(B135,TODAY(),"m")</f>
        <v>23</v>
      </c>
      <c r="Q135" s="7" t="n">
        <f aca="false">IF(K135=Analysis!$B$16,COUNTIF($K$2:K135,Analysis!$B$16),"")</f>
        <v>28</v>
      </c>
      <c r="R135" s="7" t="n">
        <f aca="false">IFERROR(DATEDIF(M135,B135,"m"),"")</f>
        <v>36</v>
      </c>
    </row>
    <row r="136" customFormat="false" ht="15" hidden="false" customHeight="false" outlineLevel="0" collapsed="false">
      <c r="A136" s="7" t="s">
        <v>323</v>
      </c>
      <c r="B136" s="9" t="n">
        <v>45589</v>
      </c>
      <c r="C136" s="7" t="s">
        <v>205</v>
      </c>
      <c r="D136" s="7" t="s">
        <v>206</v>
      </c>
      <c r="E136" s="7" t="s">
        <v>128</v>
      </c>
      <c r="F136" s="7" t="s">
        <v>129</v>
      </c>
      <c r="G136" s="7" t="s">
        <v>67</v>
      </c>
      <c r="H136" s="7" t="n">
        <v>5</v>
      </c>
      <c r="I136" s="10" t="n">
        <v>699.99</v>
      </c>
      <c r="J136" s="7" t="s">
        <v>68</v>
      </c>
      <c r="K136" s="7" t="s">
        <v>88</v>
      </c>
      <c r="L136" s="7" t="s">
        <v>75</v>
      </c>
      <c r="M136" s="9" t="n">
        <v>44635</v>
      </c>
      <c r="N136" s="10" t="n">
        <v>3499.95</v>
      </c>
      <c r="O136" s="9" t="n">
        <f aca="false">EOMONTH(B136,0)</f>
        <v>45596</v>
      </c>
      <c r="P136" s="7" t="n">
        <f aca="true">DATEDIF(B136,TODAY(),"m")</f>
        <v>23</v>
      </c>
      <c r="Q136" s="7" t="str">
        <f aca="false">IF(K136=Analysis!$B$16,COUNTIF($K$2:K136,Analysis!$B$16),"")</f>
        <v/>
      </c>
      <c r="R136" s="7" t="n">
        <f aca="false">IFERROR(DATEDIF(M136,B136,"m"),"")</f>
        <v>31</v>
      </c>
    </row>
    <row r="137" customFormat="false" ht="15" hidden="false" customHeight="false" outlineLevel="0" collapsed="false">
      <c r="A137" s="7" t="s">
        <v>324</v>
      </c>
      <c r="B137" s="9" t="n">
        <v>45592</v>
      </c>
      <c r="C137" s="7" t="s">
        <v>219</v>
      </c>
      <c r="D137" s="7" t="s">
        <v>220</v>
      </c>
      <c r="E137" s="7" t="s">
        <v>159</v>
      </c>
      <c r="F137" s="7" t="s">
        <v>160</v>
      </c>
      <c r="G137" s="7" t="s">
        <v>67</v>
      </c>
      <c r="H137" s="7" t="n">
        <v>3</v>
      </c>
      <c r="I137" s="10" t="n">
        <v>89.99</v>
      </c>
      <c r="J137" s="7" t="s">
        <v>74</v>
      </c>
      <c r="K137" s="7" t="s">
        <v>88</v>
      </c>
      <c r="L137" s="7" t="s">
        <v>84</v>
      </c>
      <c r="M137" s="9" t="n">
        <v>44615</v>
      </c>
      <c r="N137" s="10" t="n">
        <v>269.97</v>
      </c>
      <c r="O137" s="9" t="n">
        <f aca="false">EOMONTH(B137,0)</f>
        <v>45596</v>
      </c>
      <c r="P137" s="7" t="n">
        <f aca="true">DATEDIF(B137,TODAY(),"m")</f>
        <v>23</v>
      </c>
      <c r="Q137" s="7" t="str">
        <f aca="false">IF(K137=Analysis!$B$16,COUNTIF($K$2:K137,Analysis!$B$16),"")</f>
        <v/>
      </c>
      <c r="R137" s="7" t="n">
        <f aca="false">IFERROR(DATEDIF(M137,B137,"m"),"")</f>
        <v>32</v>
      </c>
    </row>
    <row r="138" customFormat="false" ht="15" hidden="false" customHeight="false" outlineLevel="0" collapsed="false">
      <c r="A138" s="7" t="s">
        <v>325</v>
      </c>
      <c r="B138" s="9" t="n">
        <v>45597</v>
      </c>
      <c r="C138" s="7" t="s">
        <v>63</v>
      </c>
      <c r="D138" s="7" t="s">
        <v>64</v>
      </c>
      <c r="E138" s="7" t="s">
        <v>65</v>
      </c>
      <c r="F138" s="7" t="s">
        <v>66</v>
      </c>
      <c r="G138" s="7" t="s">
        <v>67</v>
      </c>
      <c r="H138" s="7" t="n">
        <v>5</v>
      </c>
      <c r="I138" s="10" t="n">
        <v>249.99</v>
      </c>
      <c r="J138" s="7" t="s">
        <v>74</v>
      </c>
      <c r="K138" s="7" t="s">
        <v>83</v>
      </c>
      <c r="L138" s="7" t="s">
        <v>84</v>
      </c>
      <c r="M138" s="9" t="n">
        <v>44881</v>
      </c>
      <c r="N138" s="10" t="n">
        <v>1249.95</v>
      </c>
      <c r="O138" s="9" t="n">
        <f aca="false">EOMONTH(B138,0)</f>
        <v>45626</v>
      </c>
      <c r="P138" s="7" t="n">
        <f aca="true">DATEDIF(B138,TODAY(),"m")</f>
        <v>23</v>
      </c>
      <c r="Q138" s="7" t="str">
        <f aca="false">IF(K138=Analysis!$B$16,COUNTIF($K$2:K138,Analysis!$B$16),"")</f>
        <v/>
      </c>
      <c r="R138" s="7" t="n">
        <f aca="false">IFERROR(DATEDIF(M138,B138,"m"),"")</f>
        <v>23</v>
      </c>
    </row>
    <row r="139" customFormat="false" ht="15" hidden="false" customHeight="false" outlineLevel="0" collapsed="false">
      <c r="A139" s="7" t="s">
        <v>326</v>
      </c>
      <c r="B139" s="9" t="n">
        <v>45600</v>
      </c>
      <c r="C139" s="7" t="s">
        <v>116</v>
      </c>
      <c r="D139" s="7" t="s">
        <v>117</v>
      </c>
      <c r="E139" s="7" t="s">
        <v>153</v>
      </c>
      <c r="F139" s="7" t="s">
        <v>154</v>
      </c>
      <c r="G139" s="7" t="s">
        <v>94</v>
      </c>
      <c r="H139" s="7" t="n">
        <v>3</v>
      </c>
      <c r="I139" s="10" t="n">
        <v>299.99</v>
      </c>
      <c r="J139" s="7" t="s">
        <v>74</v>
      </c>
      <c r="K139" s="7" t="s">
        <v>83</v>
      </c>
      <c r="L139" s="7" t="s">
        <v>84</v>
      </c>
      <c r="M139" s="9" t="n">
        <v>44502</v>
      </c>
      <c r="N139" s="10" t="n">
        <v>899.97</v>
      </c>
      <c r="O139" s="9" t="n">
        <f aca="false">EOMONTH(B139,0)</f>
        <v>45626</v>
      </c>
      <c r="P139" s="7" t="n">
        <f aca="true">DATEDIF(B139,TODAY(),"m")</f>
        <v>23</v>
      </c>
      <c r="Q139" s="7" t="str">
        <f aca="false">IF(K139=Analysis!$B$16,COUNTIF($K$2:K139,Analysis!$B$16),"")</f>
        <v/>
      </c>
      <c r="R139" s="7" t="n">
        <f aca="false">IFERROR(DATEDIF(M139,B139,"m"),"")</f>
        <v>36</v>
      </c>
    </row>
    <row r="140" customFormat="false" ht="15" hidden="false" customHeight="false" outlineLevel="0" collapsed="false">
      <c r="A140" s="7" t="s">
        <v>327</v>
      </c>
      <c r="B140" s="9" t="n">
        <v>45603</v>
      </c>
      <c r="C140" s="7" t="s">
        <v>147</v>
      </c>
      <c r="D140" s="7" t="s">
        <v>148</v>
      </c>
      <c r="E140" s="7" t="s">
        <v>159</v>
      </c>
      <c r="F140" s="7" t="s">
        <v>160</v>
      </c>
      <c r="G140" s="7" t="s">
        <v>67</v>
      </c>
      <c r="H140" s="7" t="n">
        <v>3</v>
      </c>
      <c r="I140" s="10" t="n">
        <v>89.99</v>
      </c>
      <c r="J140" s="7" t="s">
        <v>74</v>
      </c>
      <c r="K140" s="7" t="s">
        <v>88</v>
      </c>
      <c r="L140" s="7" t="s">
        <v>75</v>
      </c>
      <c r="M140" s="9" t="n">
        <v>44420</v>
      </c>
      <c r="N140" s="10" t="n">
        <v>269.97</v>
      </c>
      <c r="O140" s="9" t="n">
        <f aca="false">EOMONTH(B140,0)</f>
        <v>45626</v>
      </c>
      <c r="P140" s="7" t="n">
        <f aca="true">DATEDIF(B140,TODAY(),"m")</f>
        <v>23</v>
      </c>
      <c r="Q140" s="7" t="str">
        <f aca="false">IF(K140=Analysis!$B$16,COUNTIF($K$2:K140,Analysis!$B$16),"")</f>
        <v/>
      </c>
      <c r="R140" s="7" t="n">
        <f aca="false">IFERROR(DATEDIF(M140,B140,"m"),"")</f>
        <v>38</v>
      </c>
    </row>
    <row r="141" customFormat="false" ht="15" hidden="false" customHeight="false" outlineLevel="0" collapsed="false">
      <c r="A141" s="7" t="s">
        <v>328</v>
      </c>
      <c r="B141" s="9" t="n">
        <v>45604</v>
      </c>
      <c r="C141" s="7" t="s">
        <v>138</v>
      </c>
      <c r="D141" s="7" t="s">
        <v>139</v>
      </c>
      <c r="E141" s="7" t="s">
        <v>92</v>
      </c>
      <c r="F141" s="7" t="s">
        <v>93</v>
      </c>
      <c r="G141" s="7" t="s">
        <v>94</v>
      </c>
      <c r="H141" s="7" t="n">
        <v>2</v>
      </c>
      <c r="I141" s="10" t="n">
        <v>149.99</v>
      </c>
      <c r="J141" s="7" t="s">
        <v>74</v>
      </c>
      <c r="K141" s="7" t="s">
        <v>98</v>
      </c>
      <c r="L141" s="7" t="s">
        <v>75</v>
      </c>
      <c r="M141" s="9" t="n">
        <v>44848</v>
      </c>
      <c r="N141" s="10" t="n">
        <v>299.98</v>
      </c>
      <c r="O141" s="9" t="n">
        <f aca="false">EOMONTH(B141,0)</f>
        <v>45626</v>
      </c>
      <c r="P141" s="7" t="n">
        <f aca="true">DATEDIF(B141,TODAY(),"m")</f>
        <v>23</v>
      </c>
      <c r="Q141" s="7" t="str">
        <f aca="false">IF(K141=Analysis!$B$16,COUNTIF($K$2:K141,Analysis!$B$16),"")</f>
        <v/>
      </c>
      <c r="R141" s="7" t="n">
        <f aca="false">IFERROR(DATEDIF(M141,B141,"m"),"")</f>
        <v>24</v>
      </c>
    </row>
    <row r="142" customFormat="false" ht="15" hidden="false" customHeight="false" outlineLevel="0" collapsed="false">
      <c r="A142" s="7" t="s">
        <v>329</v>
      </c>
      <c r="B142" s="9" t="n">
        <v>45605</v>
      </c>
      <c r="C142" s="7" t="s">
        <v>233</v>
      </c>
      <c r="D142" s="7" t="s">
        <v>234</v>
      </c>
      <c r="E142" s="7" t="s">
        <v>65</v>
      </c>
      <c r="F142" s="7" t="s">
        <v>66</v>
      </c>
      <c r="G142" s="7" t="s">
        <v>67</v>
      </c>
      <c r="H142" s="7" t="n">
        <v>1</v>
      </c>
      <c r="I142" s="10" t="n">
        <v>249.99</v>
      </c>
      <c r="J142" s="7" t="s">
        <v>74</v>
      </c>
      <c r="K142" s="7" t="s">
        <v>88</v>
      </c>
      <c r="L142" s="7" t="s">
        <v>75</v>
      </c>
      <c r="M142" s="9" t="n">
        <v>44828</v>
      </c>
      <c r="N142" s="10" t="n">
        <v>249.99</v>
      </c>
      <c r="O142" s="9" t="n">
        <f aca="false">EOMONTH(B142,0)</f>
        <v>45626</v>
      </c>
      <c r="P142" s="7" t="n">
        <f aca="true">DATEDIF(B142,TODAY(),"m")</f>
        <v>23</v>
      </c>
      <c r="Q142" s="7" t="str">
        <f aca="false">IF(K142=Analysis!$B$16,COUNTIF($K$2:K142,Analysis!$B$16),"")</f>
        <v/>
      </c>
      <c r="R142" s="7" t="n">
        <f aca="false">IFERROR(DATEDIF(M142,B142,"m"),"")</f>
        <v>25</v>
      </c>
    </row>
    <row r="143" customFormat="false" ht="15" hidden="false" customHeight="false" outlineLevel="0" collapsed="false">
      <c r="A143" s="7" t="s">
        <v>330</v>
      </c>
      <c r="B143" s="9" t="n">
        <v>45607</v>
      </c>
      <c r="C143" s="7" t="s">
        <v>120</v>
      </c>
      <c r="D143" s="7" t="s">
        <v>121</v>
      </c>
      <c r="E143" s="7" t="s">
        <v>100</v>
      </c>
      <c r="F143" s="7" t="s">
        <v>101</v>
      </c>
      <c r="G143" s="7" t="s">
        <v>67</v>
      </c>
      <c r="H143" s="7" t="n">
        <v>3</v>
      </c>
      <c r="I143" s="10" t="n">
        <v>149.99</v>
      </c>
      <c r="J143" s="7" t="s">
        <v>68</v>
      </c>
      <c r="K143" s="7" t="s">
        <v>88</v>
      </c>
      <c r="L143" s="7" t="s">
        <v>70</v>
      </c>
      <c r="M143" s="9" t="n">
        <v>44769</v>
      </c>
      <c r="N143" s="10" t="n">
        <v>449.97</v>
      </c>
      <c r="O143" s="9" t="n">
        <f aca="false">EOMONTH(B143,0)</f>
        <v>45626</v>
      </c>
      <c r="P143" s="7" t="n">
        <f aca="true">DATEDIF(B143,TODAY(),"m")</f>
        <v>23</v>
      </c>
      <c r="Q143" s="7" t="str">
        <f aca="false">IF(K143=Analysis!$B$16,COUNTIF($K$2:K143,Analysis!$B$16),"")</f>
        <v/>
      </c>
      <c r="R143" s="7" t="n">
        <f aca="false">IFERROR(DATEDIF(M143,B143,"m"),"")</f>
        <v>27</v>
      </c>
    </row>
    <row r="144" customFormat="false" ht="15" hidden="false" customHeight="false" outlineLevel="0" collapsed="false">
      <c r="A144" s="7" t="s">
        <v>331</v>
      </c>
      <c r="B144" s="9" t="n">
        <v>45607</v>
      </c>
      <c r="C144" s="7" t="s">
        <v>147</v>
      </c>
      <c r="D144" s="7" t="s">
        <v>148</v>
      </c>
      <c r="E144" s="7" t="s">
        <v>65</v>
      </c>
      <c r="F144" s="7" t="s">
        <v>66</v>
      </c>
      <c r="G144" s="7" t="s">
        <v>67</v>
      </c>
      <c r="H144" s="7" t="n">
        <v>4</v>
      </c>
      <c r="I144" s="10" t="n">
        <v>249.99</v>
      </c>
      <c r="J144" s="7" t="s">
        <v>74</v>
      </c>
      <c r="K144" s="7" t="s">
        <v>98</v>
      </c>
      <c r="L144" s="7" t="s">
        <v>84</v>
      </c>
      <c r="M144" s="9" t="n">
        <v>44659</v>
      </c>
      <c r="N144" s="10" t="n">
        <v>999.96</v>
      </c>
      <c r="O144" s="9" t="n">
        <f aca="false">EOMONTH(B144,0)</f>
        <v>45626</v>
      </c>
      <c r="P144" s="7" t="n">
        <f aca="true">DATEDIF(B144,TODAY(),"m")</f>
        <v>23</v>
      </c>
      <c r="Q144" s="7" t="str">
        <f aca="false">IF(K144=Analysis!$B$16,COUNTIF($K$2:K144,Analysis!$B$16),"")</f>
        <v/>
      </c>
      <c r="R144" s="7" t="n">
        <f aca="false">IFERROR(DATEDIF(M144,B144,"m"),"")</f>
        <v>31</v>
      </c>
    </row>
    <row r="145" customFormat="false" ht="15" hidden="false" customHeight="false" outlineLevel="0" collapsed="false">
      <c r="A145" s="7" t="s">
        <v>332</v>
      </c>
      <c r="B145" s="9" t="n">
        <v>45607</v>
      </c>
      <c r="C145" s="7" t="s">
        <v>63</v>
      </c>
      <c r="D145" s="7" t="s">
        <v>64</v>
      </c>
      <c r="E145" s="7" t="s">
        <v>79</v>
      </c>
      <c r="F145" s="7" t="s">
        <v>80</v>
      </c>
      <c r="G145" s="7" t="s">
        <v>81</v>
      </c>
      <c r="H145" s="7" t="n">
        <v>5</v>
      </c>
      <c r="I145" s="10" t="n">
        <v>59.99</v>
      </c>
      <c r="J145" s="7" t="s">
        <v>82</v>
      </c>
      <c r="K145" s="7" t="s">
        <v>98</v>
      </c>
      <c r="L145" s="7" t="s">
        <v>75</v>
      </c>
      <c r="M145" s="9" t="n">
        <v>44694</v>
      </c>
      <c r="N145" s="10" t="n">
        <v>299.95</v>
      </c>
      <c r="O145" s="9" t="n">
        <f aca="false">EOMONTH(B145,0)</f>
        <v>45626</v>
      </c>
      <c r="P145" s="7" t="n">
        <f aca="true">DATEDIF(B145,TODAY(),"m")</f>
        <v>23</v>
      </c>
      <c r="Q145" s="7" t="str">
        <f aca="false">IF(K145=Analysis!$B$16,COUNTIF($K$2:K145,Analysis!$B$16),"")</f>
        <v/>
      </c>
      <c r="R145" s="7" t="n">
        <f aca="false">IFERROR(DATEDIF(M145,B145,"m"),"")</f>
        <v>29</v>
      </c>
    </row>
    <row r="146" customFormat="false" ht="15" hidden="false" customHeight="false" outlineLevel="0" collapsed="false">
      <c r="A146" s="7" t="s">
        <v>333</v>
      </c>
      <c r="B146" s="9" t="n">
        <v>45608</v>
      </c>
      <c r="C146" s="7" t="s">
        <v>131</v>
      </c>
      <c r="D146" s="7" t="s">
        <v>132</v>
      </c>
      <c r="E146" s="7" t="s">
        <v>79</v>
      </c>
      <c r="F146" s="7" t="s">
        <v>80</v>
      </c>
      <c r="G146" s="7" t="s">
        <v>81</v>
      </c>
      <c r="H146" s="7" t="n">
        <v>3</v>
      </c>
      <c r="I146" s="10" t="n">
        <v>59.99</v>
      </c>
      <c r="J146" s="7" t="s">
        <v>105</v>
      </c>
      <c r="K146" s="7" t="s">
        <v>83</v>
      </c>
      <c r="L146" s="7" t="s">
        <v>84</v>
      </c>
      <c r="M146" s="9" t="n">
        <v>45260</v>
      </c>
      <c r="N146" s="10" t="n">
        <v>179.97</v>
      </c>
      <c r="O146" s="9" t="n">
        <f aca="false">EOMONTH(B146,0)</f>
        <v>45626</v>
      </c>
      <c r="P146" s="7" t="n">
        <f aca="true">DATEDIF(B146,TODAY(),"m")</f>
        <v>23</v>
      </c>
      <c r="Q146" s="7" t="str">
        <f aca="false">IF(K146=Analysis!$B$16,COUNTIF($K$2:K146,Analysis!$B$16),"")</f>
        <v/>
      </c>
      <c r="R146" s="7" t="n">
        <f aca="false">IFERROR(DATEDIF(M146,B146,"m"),"")</f>
        <v>11</v>
      </c>
    </row>
    <row r="147" customFormat="false" ht="15" hidden="false" customHeight="false" outlineLevel="0" collapsed="false">
      <c r="A147" s="7" t="s">
        <v>334</v>
      </c>
      <c r="B147" s="9" t="n">
        <v>45608</v>
      </c>
      <c r="C147" s="7" t="s">
        <v>202</v>
      </c>
      <c r="D147" s="7" t="s">
        <v>203</v>
      </c>
      <c r="E147" s="7" t="s">
        <v>92</v>
      </c>
      <c r="F147" s="7" t="s">
        <v>93</v>
      </c>
      <c r="G147" s="7" t="s">
        <v>94</v>
      </c>
      <c r="H147" s="7" t="n">
        <v>5</v>
      </c>
      <c r="I147" s="10" t="n">
        <v>149.99</v>
      </c>
      <c r="J147" s="7" t="s">
        <v>82</v>
      </c>
      <c r="K147" s="7" t="s">
        <v>69</v>
      </c>
      <c r="L147" s="7" t="s">
        <v>70</v>
      </c>
      <c r="M147" s="9" t="n">
        <v>44901</v>
      </c>
      <c r="N147" s="10" t="n">
        <v>749.95</v>
      </c>
      <c r="O147" s="9" t="n">
        <f aca="false">EOMONTH(B147,0)</f>
        <v>45626</v>
      </c>
      <c r="P147" s="7" t="n">
        <f aca="true">DATEDIF(B147,TODAY(),"m")</f>
        <v>23</v>
      </c>
      <c r="Q147" s="7" t="n">
        <f aca="false">IF(K147=Analysis!$B$16,COUNTIF($K$2:K147,Analysis!$B$16),"")</f>
        <v>29</v>
      </c>
      <c r="R147" s="7" t="n">
        <f aca="false">IFERROR(DATEDIF(M147,B147,"m"),"")</f>
        <v>23</v>
      </c>
    </row>
    <row r="148" customFormat="false" ht="15" hidden="false" customHeight="false" outlineLevel="0" collapsed="false">
      <c r="A148" s="7" t="s">
        <v>335</v>
      </c>
      <c r="B148" s="9" t="n">
        <v>45613</v>
      </c>
      <c r="C148" s="7" t="s">
        <v>134</v>
      </c>
      <c r="D148" s="7" t="s">
        <v>135</v>
      </c>
      <c r="E148" s="7" t="s">
        <v>128</v>
      </c>
      <c r="F148" s="7" t="s">
        <v>129</v>
      </c>
      <c r="G148" s="7" t="s">
        <v>67</v>
      </c>
      <c r="H148" s="7" t="n">
        <v>2</v>
      </c>
      <c r="I148" s="10" t="n">
        <v>699.99</v>
      </c>
      <c r="J148" s="7" t="s">
        <v>82</v>
      </c>
      <c r="K148" s="7" t="s">
        <v>98</v>
      </c>
      <c r="L148" s="7" t="s">
        <v>84</v>
      </c>
      <c r="M148" s="9" t="n">
        <v>44770</v>
      </c>
      <c r="N148" s="10" t="n">
        <v>1399.98</v>
      </c>
      <c r="O148" s="9" t="n">
        <f aca="false">EOMONTH(B148,0)</f>
        <v>45626</v>
      </c>
      <c r="P148" s="7" t="n">
        <f aca="true">DATEDIF(B148,TODAY(),"m")</f>
        <v>22</v>
      </c>
      <c r="Q148" s="7" t="str">
        <f aca="false">IF(K148=Analysis!$B$16,COUNTIF($K$2:K148,Analysis!$B$16),"")</f>
        <v/>
      </c>
      <c r="R148" s="7" t="n">
        <f aca="false">IFERROR(DATEDIF(M148,B148,"m"),"")</f>
        <v>27</v>
      </c>
    </row>
    <row r="149" customFormat="false" ht="15" hidden="false" customHeight="false" outlineLevel="0" collapsed="false">
      <c r="A149" s="7" t="s">
        <v>336</v>
      </c>
      <c r="B149" s="9" t="n">
        <v>45613</v>
      </c>
      <c r="C149" s="7" t="s">
        <v>282</v>
      </c>
      <c r="D149" s="7" t="s">
        <v>283</v>
      </c>
      <c r="E149" s="7" t="s">
        <v>92</v>
      </c>
      <c r="F149" s="7" t="s">
        <v>93</v>
      </c>
      <c r="G149" s="7" t="s">
        <v>94</v>
      </c>
      <c r="H149" s="7" t="n">
        <v>5</v>
      </c>
      <c r="I149" s="10" t="n">
        <v>149.99</v>
      </c>
      <c r="J149" s="7" t="s">
        <v>68</v>
      </c>
      <c r="K149" s="7" t="s">
        <v>88</v>
      </c>
      <c r="L149" s="7" t="s">
        <v>70</v>
      </c>
      <c r="M149" s="9" t="n">
        <v>44869</v>
      </c>
      <c r="N149" s="10" t="n">
        <v>749.95</v>
      </c>
      <c r="O149" s="9" t="n">
        <f aca="false">EOMONTH(B149,0)</f>
        <v>45626</v>
      </c>
      <c r="P149" s="7" t="n">
        <f aca="true">DATEDIF(B149,TODAY(),"m")</f>
        <v>22</v>
      </c>
      <c r="Q149" s="7" t="str">
        <f aca="false">IF(K149=Analysis!$B$16,COUNTIF($K$2:K149,Analysis!$B$16),"")</f>
        <v/>
      </c>
      <c r="R149" s="7" t="n">
        <f aca="false">IFERROR(DATEDIF(M149,B149,"m"),"")</f>
        <v>24</v>
      </c>
    </row>
    <row r="150" customFormat="false" ht="15" hidden="false" customHeight="false" outlineLevel="0" collapsed="false">
      <c r="A150" s="7" t="s">
        <v>337</v>
      </c>
      <c r="B150" s="9" t="n">
        <v>45617</v>
      </c>
      <c r="C150" s="7" t="s">
        <v>174</v>
      </c>
      <c r="D150" s="7" t="s">
        <v>175</v>
      </c>
      <c r="E150" s="7" t="s">
        <v>171</v>
      </c>
      <c r="F150" s="7" t="s">
        <v>172</v>
      </c>
      <c r="G150" s="7" t="s">
        <v>94</v>
      </c>
      <c r="H150" s="7" t="n">
        <v>4</v>
      </c>
      <c r="I150" s="10" t="n">
        <v>199.99</v>
      </c>
      <c r="J150" s="7" t="s">
        <v>105</v>
      </c>
      <c r="K150" s="7" t="s">
        <v>69</v>
      </c>
      <c r="L150" s="7" t="s">
        <v>75</v>
      </c>
      <c r="M150" s="9" t="n">
        <v>44427</v>
      </c>
      <c r="N150" s="10" t="n">
        <v>799.96</v>
      </c>
      <c r="O150" s="9" t="n">
        <f aca="false">EOMONTH(B150,0)</f>
        <v>45626</v>
      </c>
      <c r="P150" s="7" t="n">
        <f aca="true">DATEDIF(B150,TODAY(),"m")</f>
        <v>22</v>
      </c>
      <c r="Q150" s="7" t="n">
        <f aca="false">IF(K150=Analysis!$B$16,COUNTIF($K$2:K150,Analysis!$B$16),"")</f>
        <v>30</v>
      </c>
      <c r="R150" s="7" t="n">
        <f aca="false">IFERROR(DATEDIF(M150,B150,"m"),"")</f>
        <v>39</v>
      </c>
    </row>
    <row r="151" customFormat="false" ht="15" hidden="false" customHeight="false" outlineLevel="0" collapsed="false">
      <c r="A151" s="7" t="s">
        <v>338</v>
      </c>
      <c r="B151" s="9" t="n">
        <v>45619</v>
      </c>
      <c r="C151" s="7" t="s">
        <v>240</v>
      </c>
      <c r="D151" s="7" t="s">
        <v>241</v>
      </c>
      <c r="E151" s="7" t="s">
        <v>79</v>
      </c>
      <c r="F151" s="7" t="s">
        <v>80</v>
      </c>
      <c r="G151" s="7" t="s">
        <v>81</v>
      </c>
      <c r="H151" s="7" t="n">
        <v>1</v>
      </c>
      <c r="I151" s="10" t="n">
        <v>59.99</v>
      </c>
      <c r="J151" s="7" t="s">
        <v>105</v>
      </c>
      <c r="K151" s="7" t="s">
        <v>98</v>
      </c>
      <c r="L151" s="7" t="s">
        <v>84</v>
      </c>
      <c r="M151" s="9" t="n">
        <v>44560</v>
      </c>
      <c r="N151" s="10" t="n">
        <v>59.99</v>
      </c>
      <c r="O151" s="9" t="n">
        <f aca="false">EOMONTH(B151,0)</f>
        <v>45626</v>
      </c>
      <c r="P151" s="7" t="n">
        <f aca="true">DATEDIF(B151,TODAY(),"m")</f>
        <v>22</v>
      </c>
      <c r="Q151" s="7" t="str">
        <f aca="false">IF(K151=Analysis!$B$16,COUNTIF($K$2:K151,Analysis!$B$16),"")</f>
        <v/>
      </c>
      <c r="R151" s="7" t="n">
        <f aca="false">IFERROR(DATEDIF(M151,B151,"m"),"")</f>
        <v>34</v>
      </c>
    </row>
    <row r="152" customFormat="false" ht="15" hidden="false" customHeight="false" outlineLevel="0" collapsed="false">
      <c r="A152" s="7" t="s">
        <v>339</v>
      </c>
      <c r="B152" s="9" t="n">
        <v>45619</v>
      </c>
      <c r="C152" s="7" t="s">
        <v>202</v>
      </c>
      <c r="D152" s="7" t="s">
        <v>203</v>
      </c>
      <c r="E152" s="7" t="s">
        <v>128</v>
      </c>
      <c r="F152" s="7" t="s">
        <v>129</v>
      </c>
      <c r="G152" s="7" t="s">
        <v>67</v>
      </c>
      <c r="H152" s="7" t="n">
        <v>3</v>
      </c>
      <c r="I152" s="10" t="n">
        <v>699.99</v>
      </c>
      <c r="J152" s="7" t="s">
        <v>82</v>
      </c>
      <c r="K152" s="7" t="s">
        <v>98</v>
      </c>
      <c r="L152" s="7" t="s">
        <v>84</v>
      </c>
      <c r="M152" s="9" t="n">
        <v>44583</v>
      </c>
      <c r="N152" s="10" t="n">
        <v>2099.97</v>
      </c>
      <c r="O152" s="9" t="n">
        <f aca="false">EOMONTH(B152,0)</f>
        <v>45626</v>
      </c>
      <c r="P152" s="7" t="n">
        <f aca="true">DATEDIF(B152,TODAY(),"m")</f>
        <v>22</v>
      </c>
      <c r="Q152" s="7" t="str">
        <f aca="false">IF(K152=Analysis!$B$16,COUNTIF($K$2:K152,Analysis!$B$16),"")</f>
        <v/>
      </c>
      <c r="R152" s="7" t="n">
        <f aca="false">IFERROR(DATEDIF(M152,B152,"m"),"")</f>
        <v>34</v>
      </c>
    </row>
    <row r="153" customFormat="false" ht="15" hidden="false" customHeight="false" outlineLevel="0" collapsed="false">
      <c r="A153" s="7" t="s">
        <v>340</v>
      </c>
      <c r="B153" s="9" t="n">
        <v>45622</v>
      </c>
      <c r="C153" s="7" t="s">
        <v>341</v>
      </c>
      <c r="D153" s="7" t="s">
        <v>342</v>
      </c>
      <c r="E153" s="7" t="s">
        <v>65</v>
      </c>
      <c r="F153" s="7" t="s">
        <v>66</v>
      </c>
      <c r="G153" s="7" t="s">
        <v>67</v>
      </c>
      <c r="H153" s="7" t="n">
        <v>5</v>
      </c>
      <c r="I153" s="10" t="n">
        <v>249.99</v>
      </c>
      <c r="J153" s="7" t="s">
        <v>74</v>
      </c>
      <c r="K153" s="7" t="s">
        <v>88</v>
      </c>
      <c r="L153" s="7" t="s">
        <v>70</v>
      </c>
      <c r="M153" s="9" t="n">
        <v>44873</v>
      </c>
      <c r="N153" s="10" t="n">
        <v>1249.95</v>
      </c>
      <c r="O153" s="9" t="n">
        <f aca="false">EOMONTH(B153,0)</f>
        <v>45626</v>
      </c>
      <c r="P153" s="7" t="n">
        <f aca="true">DATEDIF(B153,TODAY(),"m")</f>
        <v>22</v>
      </c>
      <c r="Q153" s="7" t="str">
        <f aca="false">IF(K153=Analysis!$B$16,COUNTIF($K$2:K153,Analysis!$B$16),"")</f>
        <v/>
      </c>
      <c r="R153" s="7" t="n">
        <f aca="false">IFERROR(DATEDIF(M153,B153,"m"),"")</f>
        <v>24</v>
      </c>
    </row>
    <row r="154" customFormat="false" ht="15" hidden="false" customHeight="false" outlineLevel="0" collapsed="false">
      <c r="A154" s="7" t="s">
        <v>343</v>
      </c>
      <c r="B154" s="9" t="n">
        <v>45623</v>
      </c>
      <c r="C154" s="7" t="s">
        <v>163</v>
      </c>
      <c r="D154" s="7" t="s">
        <v>164</v>
      </c>
      <c r="E154" s="7" t="s">
        <v>92</v>
      </c>
      <c r="F154" s="7" t="s">
        <v>93</v>
      </c>
      <c r="G154" s="7" t="s">
        <v>94</v>
      </c>
      <c r="H154" s="7" t="n">
        <v>2</v>
      </c>
      <c r="I154" s="10" t="n">
        <v>149.99</v>
      </c>
      <c r="J154" s="7" t="s">
        <v>68</v>
      </c>
      <c r="K154" s="7" t="s">
        <v>83</v>
      </c>
      <c r="L154" s="7" t="s">
        <v>84</v>
      </c>
      <c r="M154" s="9" t="n">
        <v>45101</v>
      </c>
      <c r="N154" s="10" t="n">
        <v>299.98</v>
      </c>
      <c r="O154" s="9" t="n">
        <f aca="false">EOMONTH(B154,0)</f>
        <v>45626</v>
      </c>
      <c r="P154" s="7" t="n">
        <f aca="true">DATEDIF(B154,TODAY(),"m")</f>
        <v>22</v>
      </c>
      <c r="Q154" s="7" t="str">
        <f aca="false">IF(K154=Analysis!$B$16,COUNTIF($K$2:K154,Analysis!$B$16),"")</f>
        <v/>
      </c>
      <c r="R154" s="7" t="n">
        <f aca="false">IFERROR(DATEDIF(M154,B154,"m"),"")</f>
        <v>17</v>
      </c>
    </row>
    <row r="155" customFormat="false" ht="15" hidden="false" customHeight="false" outlineLevel="0" collapsed="false">
      <c r="A155" s="7" t="s">
        <v>344</v>
      </c>
      <c r="B155" s="9" t="n">
        <v>45627</v>
      </c>
      <c r="C155" s="7" t="s">
        <v>77</v>
      </c>
      <c r="D155" s="7" t="s">
        <v>78</v>
      </c>
      <c r="E155" s="7" t="s">
        <v>153</v>
      </c>
      <c r="F155" s="7" t="s">
        <v>154</v>
      </c>
      <c r="G155" s="7" t="s">
        <v>94</v>
      </c>
      <c r="H155" s="7" t="n">
        <v>3</v>
      </c>
      <c r="I155" s="10" t="n">
        <v>299.99</v>
      </c>
      <c r="J155" s="7" t="s">
        <v>68</v>
      </c>
      <c r="K155" s="7" t="s">
        <v>83</v>
      </c>
      <c r="L155" s="7" t="s">
        <v>75</v>
      </c>
      <c r="M155" s="9" t="n">
        <v>44659</v>
      </c>
      <c r="N155" s="10" t="n">
        <v>899.97</v>
      </c>
      <c r="O155" s="9" t="n">
        <f aca="false">EOMONTH(B155,0)</f>
        <v>45657</v>
      </c>
      <c r="P155" s="7" t="n">
        <f aca="true">DATEDIF(B155,TODAY(),"m")</f>
        <v>22</v>
      </c>
      <c r="Q155" s="7" t="str">
        <f aca="false">IF(K155=Analysis!$B$16,COUNTIF($K$2:K155,Analysis!$B$16),"")</f>
        <v/>
      </c>
      <c r="R155" s="7" t="n">
        <f aca="false">IFERROR(DATEDIF(M155,B155,"m"),"")</f>
        <v>31</v>
      </c>
    </row>
    <row r="156" customFormat="false" ht="15" hidden="false" customHeight="false" outlineLevel="0" collapsed="false">
      <c r="A156" s="7" t="s">
        <v>345</v>
      </c>
      <c r="B156" s="9" t="n">
        <v>45627</v>
      </c>
      <c r="C156" s="7" t="s">
        <v>103</v>
      </c>
      <c r="D156" s="7" t="s">
        <v>104</v>
      </c>
      <c r="E156" s="7" t="s">
        <v>65</v>
      </c>
      <c r="F156" s="7" t="s">
        <v>66</v>
      </c>
      <c r="G156" s="7" t="s">
        <v>67</v>
      </c>
      <c r="H156" s="7" t="n">
        <v>5</v>
      </c>
      <c r="I156" s="10" t="n">
        <v>249.99</v>
      </c>
      <c r="J156" s="7" t="s">
        <v>68</v>
      </c>
      <c r="K156" s="7" t="s">
        <v>69</v>
      </c>
      <c r="L156" s="7" t="s">
        <v>75</v>
      </c>
      <c r="M156" s="9" t="n">
        <v>44485</v>
      </c>
      <c r="N156" s="10" t="n">
        <v>1249.95</v>
      </c>
      <c r="O156" s="9" t="n">
        <f aca="false">EOMONTH(B156,0)</f>
        <v>45657</v>
      </c>
      <c r="P156" s="7" t="n">
        <f aca="true">DATEDIF(B156,TODAY(),"m")</f>
        <v>22</v>
      </c>
      <c r="Q156" s="7" t="n">
        <f aca="false">IF(K156=Analysis!$B$16,COUNTIF($K$2:K156,Analysis!$B$16),"")</f>
        <v>31</v>
      </c>
      <c r="R156" s="7" t="n">
        <f aca="false">IFERROR(DATEDIF(M156,B156,"m"),"")</f>
        <v>37</v>
      </c>
    </row>
    <row r="157" customFormat="false" ht="15" hidden="false" customHeight="false" outlineLevel="0" collapsed="false">
      <c r="A157" s="7" t="s">
        <v>346</v>
      </c>
      <c r="B157" s="9" t="n">
        <v>45627</v>
      </c>
      <c r="C157" s="7" t="s">
        <v>72</v>
      </c>
      <c r="D157" s="7" t="s">
        <v>73</v>
      </c>
      <c r="E157" s="7" t="s">
        <v>100</v>
      </c>
      <c r="F157" s="7" t="s">
        <v>101</v>
      </c>
      <c r="G157" s="7" t="s">
        <v>67</v>
      </c>
      <c r="H157" s="7" t="n">
        <v>2</v>
      </c>
      <c r="I157" s="10" t="n">
        <v>149.99</v>
      </c>
      <c r="J157" s="7" t="s">
        <v>68</v>
      </c>
      <c r="K157" s="7" t="s">
        <v>83</v>
      </c>
      <c r="L157" s="7" t="s">
        <v>75</v>
      </c>
      <c r="M157" s="9" t="n">
        <v>44475</v>
      </c>
      <c r="N157" s="10" t="n">
        <v>299.98</v>
      </c>
      <c r="O157" s="9" t="n">
        <f aca="false">EOMONTH(B157,0)</f>
        <v>45657</v>
      </c>
      <c r="P157" s="7" t="n">
        <f aca="true">DATEDIF(B157,TODAY(),"m")</f>
        <v>22</v>
      </c>
      <c r="Q157" s="7" t="str">
        <f aca="false">IF(K157=Analysis!$B$16,COUNTIF($K$2:K157,Analysis!$B$16),"")</f>
        <v/>
      </c>
      <c r="R157" s="7" t="n">
        <f aca="false">IFERROR(DATEDIF(M157,B157,"m"),"")</f>
        <v>37</v>
      </c>
    </row>
    <row r="158" customFormat="false" ht="15" hidden="false" customHeight="false" outlineLevel="0" collapsed="false">
      <c r="A158" s="7" t="s">
        <v>347</v>
      </c>
      <c r="B158" s="9" t="n">
        <v>45627</v>
      </c>
      <c r="C158" s="7" t="s">
        <v>134</v>
      </c>
      <c r="D158" s="7" t="s">
        <v>135</v>
      </c>
      <c r="E158" s="7" t="s">
        <v>128</v>
      </c>
      <c r="F158" s="7" t="s">
        <v>129</v>
      </c>
      <c r="G158" s="7" t="s">
        <v>67</v>
      </c>
      <c r="H158" s="7" t="n">
        <v>5</v>
      </c>
      <c r="I158" s="10" t="n">
        <v>699.99</v>
      </c>
      <c r="J158" s="7" t="s">
        <v>105</v>
      </c>
      <c r="K158" s="7" t="s">
        <v>98</v>
      </c>
      <c r="L158" s="7" t="s">
        <v>84</v>
      </c>
      <c r="M158" s="9" t="n">
        <v>44944</v>
      </c>
      <c r="N158" s="10" t="n">
        <v>3499.95</v>
      </c>
      <c r="O158" s="9" t="n">
        <f aca="false">EOMONTH(B158,0)</f>
        <v>45657</v>
      </c>
      <c r="P158" s="7" t="n">
        <f aca="true">DATEDIF(B158,TODAY(),"m")</f>
        <v>22</v>
      </c>
      <c r="Q158" s="7" t="str">
        <f aca="false">IF(K158=Analysis!$B$16,COUNTIF($K$2:K158,Analysis!$B$16),"")</f>
        <v/>
      </c>
      <c r="R158" s="7" t="n">
        <f aca="false">IFERROR(DATEDIF(M158,B158,"m"),"")</f>
        <v>22</v>
      </c>
    </row>
    <row r="159" customFormat="false" ht="15" hidden="false" customHeight="false" outlineLevel="0" collapsed="false">
      <c r="A159" s="7" t="s">
        <v>348</v>
      </c>
      <c r="B159" s="9" t="n">
        <v>45629</v>
      </c>
      <c r="C159" s="7" t="s">
        <v>300</v>
      </c>
      <c r="D159" s="7" t="s">
        <v>301</v>
      </c>
      <c r="E159" s="7" t="s">
        <v>65</v>
      </c>
      <c r="F159" s="7" t="s">
        <v>66</v>
      </c>
      <c r="G159" s="7" t="s">
        <v>67</v>
      </c>
      <c r="H159" s="7" t="n">
        <v>4</v>
      </c>
      <c r="I159" s="10" t="n">
        <v>249.99</v>
      </c>
      <c r="J159" s="7" t="s">
        <v>82</v>
      </c>
      <c r="K159" s="7" t="s">
        <v>111</v>
      </c>
      <c r="L159" s="7" t="s">
        <v>75</v>
      </c>
      <c r="M159" s="9" t="n">
        <v>45098</v>
      </c>
      <c r="N159" s="10" t="n">
        <v>999.96</v>
      </c>
      <c r="O159" s="9" t="n">
        <f aca="false">EOMONTH(B159,0)</f>
        <v>45657</v>
      </c>
      <c r="P159" s="7" t="n">
        <f aca="true">DATEDIF(B159,TODAY(),"m")</f>
        <v>22</v>
      </c>
      <c r="Q159" s="7" t="str">
        <f aca="false">IF(K159=Analysis!$B$16,COUNTIF($K$2:K159,Analysis!$B$16),"")</f>
        <v/>
      </c>
      <c r="R159" s="7" t="n">
        <f aca="false">IFERROR(DATEDIF(M159,B159,"m"),"")</f>
        <v>17</v>
      </c>
    </row>
    <row r="160" customFormat="false" ht="15" hidden="false" customHeight="false" outlineLevel="0" collapsed="false">
      <c r="A160" s="7" t="s">
        <v>349</v>
      </c>
      <c r="B160" s="9" t="n">
        <v>45630</v>
      </c>
      <c r="C160" s="7" t="s">
        <v>96</v>
      </c>
      <c r="D160" s="7" t="s">
        <v>97</v>
      </c>
      <c r="E160" s="7" t="s">
        <v>128</v>
      </c>
      <c r="F160" s="7" t="s">
        <v>129</v>
      </c>
      <c r="G160" s="7" t="s">
        <v>67</v>
      </c>
      <c r="H160" s="7" t="n">
        <v>4</v>
      </c>
      <c r="I160" s="10" t="n">
        <v>699.99</v>
      </c>
      <c r="J160" s="7" t="s">
        <v>74</v>
      </c>
      <c r="K160" s="7" t="s">
        <v>88</v>
      </c>
      <c r="L160" s="7" t="s">
        <v>75</v>
      </c>
      <c r="M160" s="9" t="n">
        <v>44703</v>
      </c>
      <c r="N160" s="10" t="n">
        <v>2799.96</v>
      </c>
      <c r="O160" s="9" t="n">
        <f aca="false">EOMONTH(B160,0)</f>
        <v>45657</v>
      </c>
      <c r="P160" s="7" t="n">
        <f aca="true">DATEDIF(B160,TODAY(),"m")</f>
        <v>22</v>
      </c>
      <c r="Q160" s="7" t="str">
        <f aca="false">IF(K160=Analysis!$B$16,COUNTIF($K$2:K160,Analysis!$B$16),"")</f>
        <v/>
      </c>
      <c r="R160" s="7" t="n">
        <f aca="false">IFERROR(DATEDIF(M160,B160,"m"),"")</f>
        <v>30</v>
      </c>
    </row>
    <row r="161" customFormat="false" ht="15" hidden="false" customHeight="false" outlineLevel="0" collapsed="false">
      <c r="A161" s="7" t="s">
        <v>350</v>
      </c>
      <c r="B161" s="9" t="n">
        <v>45635</v>
      </c>
      <c r="C161" s="7" t="s">
        <v>189</v>
      </c>
      <c r="D161" s="7" t="s">
        <v>190</v>
      </c>
      <c r="E161" s="7" t="s">
        <v>165</v>
      </c>
      <c r="F161" s="7" t="s">
        <v>166</v>
      </c>
      <c r="G161" s="7" t="s">
        <v>81</v>
      </c>
      <c r="H161" s="7" t="n">
        <v>4</v>
      </c>
      <c r="I161" s="10" t="n">
        <v>79.99</v>
      </c>
      <c r="J161" s="7" t="s">
        <v>105</v>
      </c>
      <c r="K161" s="7" t="s">
        <v>111</v>
      </c>
      <c r="L161" s="7" t="s">
        <v>84</v>
      </c>
      <c r="M161" s="9" t="n">
        <v>44921</v>
      </c>
      <c r="N161" s="10" t="n">
        <v>319.96</v>
      </c>
      <c r="O161" s="9" t="n">
        <f aca="false">EOMONTH(B161,0)</f>
        <v>45657</v>
      </c>
      <c r="P161" s="7" t="n">
        <f aca="true">DATEDIF(B161,TODAY(),"m")</f>
        <v>22</v>
      </c>
      <c r="Q161" s="7" t="str">
        <f aca="false">IF(K161=Analysis!$B$16,COUNTIF($K$2:K161,Analysis!$B$16),"")</f>
        <v/>
      </c>
      <c r="R161" s="7" t="n">
        <f aca="false">IFERROR(DATEDIF(M161,B161,"m"),"")</f>
        <v>23</v>
      </c>
    </row>
    <row r="162" customFormat="false" ht="15" hidden="false" customHeight="false" outlineLevel="0" collapsed="false">
      <c r="A162" s="7" t="s">
        <v>351</v>
      </c>
      <c r="B162" s="9" t="n">
        <v>45635</v>
      </c>
      <c r="C162" s="7" t="s">
        <v>352</v>
      </c>
      <c r="D162" s="7" t="s">
        <v>353</v>
      </c>
      <c r="E162" s="7" t="s">
        <v>79</v>
      </c>
      <c r="F162" s="7" t="s">
        <v>80</v>
      </c>
      <c r="G162" s="7" t="s">
        <v>81</v>
      </c>
      <c r="H162" s="7" t="n">
        <v>3</v>
      </c>
      <c r="I162" s="10" t="n">
        <v>59.99</v>
      </c>
      <c r="J162" s="7" t="s">
        <v>68</v>
      </c>
      <c r="K162" s="7" t="s">
        <v>69</v>
      </c>
      <c r="L162" s="7" t="s">
        <v>75</v>
      </c>
      <c r="M162" s="9" t="n">
        <v>45052</v>
      </c>
      <c r="N162" s="10" t="n">
        <v>179.97</v>
      </c>
      <c r="O162" s="9" t="n">
        <f aca="false">EOMONTH(B162,0)</f>
        <v>45657</v>
      </c>
      <c r="P162" s="7" t="n">
        <f aca="true">DATEDIF(B162,TODAY(),"m")</f>
        <v>22</v>
      </c>
      <c r="Q162" s="7" t="n">
        <f aca="false">IF(K162=Analysis!$B$16,COUNTIF($K$2:K162,Analysis!$B$16),"")</f>
        <v>32</v>
      </c>
      <c r="R162" s="7" t="n">
        <f aca="false">IFERROR(DATEDIF(M162,B162,"m"),"")</f>
        <v>19</v>
      </c>
    </row>
    <row r="163" customFormat="false" ht="15" hidden="false" customHeight="false" outlineLevel="0" collapsed="false">
      <c r="A163" s="7" t="s">
        <v>354</v>
      </c>
      <c r="B163" s="9" t="n">
        <v>45635</v>
      </c>
      <c r="C163" s="7" t="s">
        <v>156</v>
      </c>
      <c r="D163" s="7" t="s">
        <v>157</v>
      </c>
      <c r="E163" s="7" t="s">
        <v>65</v>
      </c>
      <c r="F163" s="7" t="s">
        <v>66</v>
      </c>
      <c r="G163" s="7" t="s">
        <v>67</v>
      </c>
      <c r="H163" s="7" t="n">
        <v>2</v>
      </c>
      <c r="I163" s="10" t="n">
        <v>249.99</v>
      </c>
      <c r="J163" s="7" t="s">
        <v>74</v>
      </c>
      <c r="K163" s="7" t="s">
        <v>69</v>
      </c>
      <c r="L163" s="7" t="s">
        <v>75</v>
      </c>
      <c r="M163" s="9" t="n">
        <v>44396</v>
      </c>
      <c r="N163" s="10" t="n">
        <v>499.98</v>
      </c>
      <c r="O163" s="9" t="n">
        <f aca="false">EOMONTH(B163,0)</f>
        <v>45657</v>
      </c>
      <c r="P163" s="7" t="n">
        <f aca="true">DATEDIF(B163,TODAY(),"m")</f>
        <v>22</v>
      </c>
      <c r="Q163" s="7" t="n">
        <f aca="false">IF(K163=Analysis!$B$16,COUNTIF($K$2:K163,Analysis!$B$16),"")</f>
        <v>33</v>
      </c>
      <c r="R163" s="7" t="n">
        <f aca="false">IFERROR(DATEDIF(M163,B163,"m"),"")</f>
        <v>40</v>
      </c>
    </row>
    <row r="164" customFormat="false" ht="15" hidden="false" customHeight="false" outlineLevel="0" collapsed="false">
      <c r="A164" s="7" t="s">
        <v>355</v>
      </c>
      <c r="B164" s="9" t="n">
        <v>45636</v>
      </c>
      <c r="C164" s="7" t="s">
        <v>168</v>
      </c>
      <c r="D164" s="7" t="s">
        <v>169</v>
      </c>
      <c r="E164" s="7" t="s">
        <v>165</v>
      </c>
      <c r="F164" s="7" t="s">
        <v>166</v>
      </c>
      <c r="G164" s="7" t="s">
        <v>81</v>
      </c>
      <c r="H164" s="7" t="n">
        <v>3</v>
      </c>
      <c r="I164" s="10" t="n">
        <v>79.99</v>
      </c>
      <c r="J164" s="7" t="s">
        <v>105</v>
      </c>
      <c r="K164" s="7" t="s">
        <v>111</v>
      </c>
      <c r="L164" s="7" t="s">
        <v>84</v>
      </c>
      <c r="M164" s="9" t="n">
        <v>44779</v>
      </c>
      <c r="N164" s="10" t="n">
        <v>239.97</v>
      </c>
      <c r="O164" s="9" t="n">
        <f aca="false">EOMONTH(B164,0)</f>
        <v>45657</v>
      </c>
      <c r="P164" s="7" t="n">
        <f aca="true">DATEDIF(B164,TODAY(),"m")</f>
        <v>22</v>
      </c>
      <c r="Q164" s="7" t="str">
        <f aca="false">IF(K164=Analysis!$B$16,COUNTIF($K$2:K164,Analysis!$B$16),"")</f>
        <v/>
      </c>
      <c r="R164" s="7" t="n">
        <f aca="false">IFERROR(DATEDIF(M164,B164,"m"),"")</f>
        <v>28</v>
      </c>
    </row>
    <row r="165" customFormat="false" ht="15" hidden="false" customHeight="false" outlineLevel="0" collapsed="false">
      <c r="A165" s="7" t="s">
        <v>356</v>
      </c>
      <c r="B165" s="9" t="n">
        <v>45638</v>
      </c>
      <c r="C165" s="7" t="s">
        <v>120</v>
      </c>
      <c r="D165" s="7" t="s">
        <v>121</v>
      </c>
      <c r="E165" s="7" t="s">
        <v>109</v>
      </c>
      <c r="F165" s="7" t="s">
        <v>110</v>
      </c>
      <c r="G165" s="7" t="s">
        <v>67</v>
      </c>
      <c r="H165" s="7" t="n">
        <v>2</v>
      </c>
      <c r="I165" s="10" t="n">
        <v>899.99</v>
      </c>
      <c r="J165" s="7" t="s">
        <v>68</v>
      </c>
      <c r="K165" s="7" t="s">
        <v>88</v>
      </c>
      <c r="L165" s="7" t="s">
        <v>70</v>
      </c>
      <c r="M165" s="9" t="n">
        <v>44406</v>
      </c>
      <c r="N165" s="10" t="n">
        <v>1799.98</v>
      </c>
      <c r="O165" s="9" t="n">
        <f aca="false">EOMONTH(B165,0)</f>
        <v>45657</v>
      </c>
      <c r="P165" s="7" t="n">
        <f aca="true">DATEDIF(B165,TODAY(),"m")</f>
        <v>22</v>
      </c>
      <c r="Q165" s="7" t="str">
        <f aca="false">IF(K165=Analysis!$B$16,COUNTIF($K$2:K165,Analysis!$B$16),"")</f>
        <v/>
      </c>
      <c r="R165" s="7" t="n">
        <f aca="false">IFERROR(DATEDIF(M165,B165,"m"),"")</f>
        <v>40</v>
      </c>
    </row>
    <row r="166" customFormat="false" ht="15" hidden="false" customHeight="false" outlineLevel="0" collapsed="false">
      <c r="A166" s="7" t="s">
        <v>357</v>
      </c>
      <c r="B166" s="9" t="n">
        <v>45641</v>
      </c>
      <c r="C166" s="7" t="s">
        <v>230</v>
      </c>
      <c r="D166" s="7" t="s">
        <v>231</v>
      </c>
      <c r="E166" s="7" t="s">
        <v>92</v>
      </c>
      <c r="F166" s="7" t="s">
        <v>93</v>
      </c>
      <c r="G166" s="7" t="s">
        <v>94</v>
      </c>
      <c r="H166" s="7" t="n">
        <v>1</v>
      </c>
      <c r="I166" s="10" t="n">
        <v>149.99</v>
      </c>
      <c r="J166" s="7" t="s">
        <v>105</v>
      </c>
      <c r="K166" s="7" t="s">
        <v>111</v>
      </c>
      <c r="L166" s="7" t="s">
        <v>84</v>
      </c>
      <c r="M166" s="9" t="n">
        <v>45200</v>
      </c>
      <c r="N166" s="10" t="n">
        <v>149.99</v>
      </c>
      <c r="O166" s="9" t="n">
        <f aca="false">EOMONTH(B166,0)</f>
        <v>45657</v>
      </c>
      <c r="P166" s="7" t="n">
        <f aca="true">DATEDIF(B166,TODAY(),"m")</f>
        <v>21</v>
      </c>
      <c r="Q166" s="7" t="str">
        <f aca="false">IF(K166=Analysis!$B$16,COUNTIF($K$2:K166,Analysis!$B$16),"")</f>
        <v/>
      </c>
      <c r="R166" s="7" t="n">
        <f aca="false">IFERROR(DATEDIF(M166,B166,"m"),"")</f>
        <v>14</v>
      </c>
    </row>
    <row r="167" customFormat="false" ht="15" hidden="false" customHeight="false" outlineLevel="0" collapsed="false">
      <c r="A167" s="7" t="s">
        <v>358</v>
      </c>
      <c r="B167" s="9" t="n">
        <v>45641</v>
      </c>
      <c r="C167" s="7" t="s">
        <v>186</v>
      </c>
      <c r="D167" s="7" t="s">
        <v>187</v>
      </c>
      <c r="E167" s="7" t="s">
        <v>153</v>
      </c>
      <c r="F167" s="7" t="s">
        <v>154</v>
      </c>
      <c r="G167" s="7" t="s">
        <v>94</v>
      </c>
      <c r="H167" s="7" t="n">
        <v>2</v>
      </c>
      <c r="I167" s="10" t="n">
        <v>299.99</v>
      </c>
      <c r="J167" s="7" t="s">
        <v>68</v>
      </c>
      <c r="K167" s="7" t="s">
        <v>111</v>
      </c>
      <c r="L167" s="7" t="s">
        <v>75</v>
      </c>
      <c r="M167" s="9" t="n">
        <v>44724</v>
      </c>
      <c r="N167" s="10" t="n">
        <v>599.98</v>
      </c>
      <c r="O167" s="9" t="n">
        <f aca="false">EOMONTH(B167,0)</f>
        <v>45657</v>
      </c>
      <c r="P167" s="7" t="n">
        <f aca="true">DATEDIF(B167,TODAY(),"m")</f>
        <v>21</v>
      </c>
      <c r="Q167" s="7" t="str">
        <f aca="false">IF(K167=Analysis!$B$16,COUNTIF($K$2:K167,Analysis!$B$16),"")</f>
        <v/>
      </c>
      <c r="R167" s="7" t="n">
        <f aca="false">IFERROR(DATEDIF(M167,B167,"m"),"")</f>
        <v>30</v>
      </c>
    </row>
    <row r="168" customFormat="false" ht="15" hidden="false" customHeight="false" outlineLevel="0" collapsed="false">
      <c r="A168" s="7" t="s">
        <v>359</v>
      </c>
      <c r="B168" s="9" t="n">
        <v>45644</v>
      </c>
      <c r="C168" s="7" t="s">
        <v>180</v>
      </c>
      <c r="D168" s="7" t="s">
        <v>181</v>
      </c>
      <c r="E168" s="7" t="s">
        <v>79</v>
      </c>
      <c r="F168" s="7" t="s">
        <v>80</v>
      </c>
      <c r="G168" s="7" t="s">
        <v>81</v>
      </c>
      <c r="H168" s="7" t="n">
        <v>2</v>
      </c>
      <c r="I168" s="10" t="n">
        <v>59.99</v>
      </c>
      <c r="J168" s="7" t="s">
        <v>68</v>
      </c>
      <c r="K168" s="7" t="s">
        <v>98</v>
      </c>
      <c r="L168" s="7" t="s">
        <v>70</v>
      </c>
      <c r="M168" s="9" t="n">
        <v>45191</v>
      </c>
      <c r="N168" s="10" t="n">
        <v>119.98</v>
      </c>
      <c r="O168" s="9" t="n">
        <f aca="false">EOMONTH(B168,0)</f>
        <v>45657</v>
      </c>
      <c r="P168" s="7" t="n">
        <f aca="true">DATEDIF(B168,TODAY(),"m")</f>
        <v>21</v>
      </c>
      <c r="Q168" s="7" t="str">
        <f aca="false">IF(K168=Analysis!$B$16,COUNTIF($K$2:K168,Analysis!$B$16),"")</f>
        <v/>
      </c>
      <c r="R168" s="7" t="n">
        <f aca="false">IFERROR(DATEDIF(M168,B168,"m"),"")</f>
        <v>14</v>
      </c>
    </row>
    <row r="169" customFormat="false" ht="15" hidden="false" customHeight="false" outlineLevel="0" collapsed="false">
      <c r="A169" s="7" t="s">
        <v>360</v>
      </c>
      <c r="B169" s="9" t="n">
        <v>45645</v>
      </c>
      <c r="C169" s="7" t="s">
        <v>195</v>
      </c>
      <c r="D169" s="7" t="s">
        <v>196</v>
      </c>
      <c r="E169" s="7" t="s">
        <v>109</v>
      </c>
      <c r="F169" s="7" t="s">
        <v>110</v>
      </c>
      <c r="G169" s="7" t="s">
        <v>67</v>
      </c>
      <c r="H169" s="7" t="n">
        <v>5</v>
      </c>
      <c r="I169" s="10" t="n">
        <v>899.99</v>
      </c>
      <c r="J169" s="7" t="s">
        <v>105</v>
      </c>
      <c r="K169" s="7" t="s">
        <v>111</v>
      </c>
      <c r="L169" s="7" t="s">
        <v>84</v>
      </c>
      <c r="M169" s="9" t="n">
        <v>44625</v>
      </c>
      <c r="N169" s="10" t="n">
        <v>4499.95</v>
      </c>
      <c r="O169" s="9" t="n">
        <f aca="false">EOMONTH(B169,0)</f>
        <v>45657</v>
      </c>
      <c r="P169" s="7" t="n">
        <f aca="true">DATEDIF(B169,TODAY(),"m")</f>
        <v>21</v>
      </c>
      <c r="Q169" s="7" t="str">
        <f aca="false">IF(K169=Analysis!$B$16,COUNTIF($K$2:K169,Analysis!$B$16),"")</f>
        <v/>
      </c>
      <c r="R169" s="7" t="n">
        <f aca="false">IFERROR(DATEDIF(M169,B169,"m"),"")</f>
        <v>33</v>
      </c>
    </row>
    <row r="170" customFormat="false" ht="15" hidden="false" customHeight="false" outlineLevel="0" collapsed="false">
      <c r="A170" s="7" t="s">
        <v>361</v>
      </c>
      <c r="B170" s="9" t="n">
        <v>45645</v>
      </c>
      <c r="C170" s="7" t="s">
        <v>230</v>
      </c>
      <c r="D170" s="7" t="s">
        <v>231</v>
      </c>
      <c r="E170" s="7" t="s">
        <v>159</v>
      </c>
      <c r="F170" s="7" t="s">
        <v>160</v>
      </c>
      <c r="G170" s="7" t="s">
        <v>67</v>
      </c>
      <c r="H170" s="7" t="n">
        <v>1</v>
      </c>
      <c r="I170" s="10" t="n">
        <v>89.99</v>
      </c>
      <c r="J170" s="7" t="s">
        <v>105</v>
      </c>
      <c r="K170" s="7" t="s">
        <v>69</v>
      </c>
      <c r="L170" s="7" t="s">
        <v>84</v>
      </c>
      <c r="M170" s="9" t="n">
        <v>44760</v>
      </c>
      <c r="N170" s="10" t="n">
        <v>89.99</v>
      </c>
      <c r="O170" s="9" t="n">
        <f aca="false">EOMONTH(B170,0)</f>
        <v>45657</v>
      </c>
      <c r="P170" s="7" t="n">
        <f aca="true">DATEDIF(B170,TODAY(),"m")</f>
        <v>21</v>
      </c>
      <c r="Q170" s="7" t="n">
        <f aca="false">IF(K170=Analysis!$B$16,COUNTIF($K$2:K170,Analysis!$B$16),"")</f>
        <v>34</v>
      </c>
      <c r="R170" s="7" t="n">
        <f aca="false">IFERROR(DATEDIF(M170,B170,"m"),"")</f>
        <v>29</v>
      </c>
    </row>
    <row r="171" customFormat="false" ht="15" hidden="false" customHeight="false" outlineLevel="0" collapsed="false">
      <c r="A171" s="7" t="s">
        <v>362</v>
      </c>
      <c r="B171" s="9" t="n">
        <v>45646</v>
      </c>
      <c r="C171" s="7" t="s">
        <v>90</v>
      </c>
      <c r="D171" s="7" t="s">
        <v>91</v>
      </c>
      <c r="E171" s="7" t="s">
        <v>92</v>
      </c>
      <c r="F171" s="7" t="s">
        <v>93</v>
      </c>
      <c r="G171" s="7" t="s">
        <v>94</v>
      </c>
      <c r="H171" s="7" t="n">
        <v>2</v>
      </c>
      <c r="I171" s="10" t="n">
        <v>149.99</v>
      </c>
      <c r="J171" s="7" t="s">
        <v>68</v>
      </c>
      <c r="K171" s="7" t="s">
        <v>83</v>
      </c>
      <c r="L171" s="7" t="s">
        <v>70</v>
      </c>
      <c r="M171" s="9" t="n">
        <v>45239</v>
      </c>
      <c r="N171" s="10" t="n">
        <v>299.98</v>
      </c>
      <c r="O171" s="9" t="n">
        <f aca="false">EOMONTH(B171,0)</f>
        <v>45657</v>
      </c>
      <c r="P171" s="7" t="n">
        <f aca="true">DATEDIF(B171,TODAY(),"m")</f>
        <v>21</v>
      </c>
      <c r="Q171" s="7" t="str">
        <f aca="false">IF(K171=Analysis!$B$16,COUNTIF($K$2:K171,Analysis!$B$16),"")</f>
        <v/>
      </c>
      <c r="R171" s="7" t="n">
        <f aca="false">IFERROR(DATEDIF(M171,B171,"m"),"")</f>
        <v>13</v>
      </c>
    </row>
    <row r="172" customFormat="false" ht="15" hidden="false" customHeight="false" outlineLevel="0" collapsed="false">
      <c r="A172" s="7" t="s">
        <v>363</v>
      </c>
      <c r="B172" s="9" t="n">
        <v>45648</v>
      </c>
      <c r="C172" s="7" t="s">
        <v>230</v>
      </c>
      <c r="D172" s="7" t="s">
        <v>231</v>
      </c>
      <c r="E172" s="7" t="s">
        <v>92</v>
      </c>
      <c r="F172" s="7" t="s">
        <v>93</v>
      </c>
      <c r="G172" s="7" t="s">
        <v>94</v>
      </c>
      <c r="H172" s="7" t="n">
        <v>3</v>
      </c>
      <c r="I172" s="10" t="n">
        <v>149.99</v>
      </c>
      <c r="J172" s="7" t="s">
        <v>105</v>
      </c>
      <c r="K172" s="7" t="s">
        <v>88</v>
      </c>
      <c r="L172" s="7" t="s">
        <v>84</v>
      </c>
      <c r="M172" s="9" t="n">
        <v>44522</v>
      </c>
      <c r="N172" s="10" t="n">
        <v>449.97</v>
      </c>
      <c r="O172" s="9" t="n">
        <f aca="false">EOMONTH(B172,0)</f>
        <v>45657</v>
      </c>
      <c r="P172" s="7" t="n">
        <f aca="true">DATEDIF(B172,TODAY(),"m")</f>
        <v>21</v>
      </c>
      <c r="Q172" s="7" t="str">
        <f aca="false">IF(K172=Analysis!$B$16,COUNTIF($K$2:K172,Analysis!$B$16),"")</f>
        <v/>
      </c>
      <c r="R172" s="7" t="n">
        <f aca="false">IFERROR(DATEDIF(M172,B172,"m"),"")</f>
        <v>37</v>
      </c>
    </row>
    <row r="173" customFormat="false" ht="15" hidden="false" customHeight="false" outlineLevel="0" collapsed="false">
      <c r="A173" s="7" t="s">
        <v>364</v>
      </c>
      <c r="B173" s="9" t="n">
        <v>45648</v>
      </c>
      <c r="C173" s="7" t="s">
        <v>163</v>
      </c>
      <c r="D173" s="7" t="s">
        <v>164</v>
      </c>
      <c r="E173" s="7" t="s">
        <v>100</v>
      </c>
      <c r="F173" s="7" t="s">
        <v>101</v>
      </c>
      <c r="G173" s="7" t="s">
        <v>67</v>
      </c>
      <c r="H173" s="7" t="n">
        <v>2</v>
      </c>
      <c r="I173" s="10" t="n">
        <v>149.99</v>
      </c>
      <c r="J173" s="7" t="s">
        <v>105</v>
      </c>
      <c r="K173" s="7" t="s">
        <v>98</v>
      </c>
      <c r="L173" s="7" t="s">
        <v>75</v>
      </c>
      <c r="M173" s="9" t="n">
        <v>45280</v>
      </c>
      <c r="N173" s="10" t="n">
        <v>299.98</v>
      </c>
      <c r="O173" s="9" t="n">
        <f aca="false">EOMONTH(B173,0)</f>
        <v>45657</v>
      </c>
      <c r="P173" s="7" t="n">
        <f aca="true">DATEDIF(B173,TODAY(),"m")</f>
        <v>21</v>
      </c>
      <c r="Q173" s="7" t="str">
        <f aca="false">IF(K173=Analysis!$B$16,COUNTIF($K$2:K173,Analysis!$B$16),"")</f>
        <v/>
      </c>
      <c r="R173" s="7" t="n">
        <f aca="false">IFERROR(DATEDIF(M173,B173,"m"),"")</f>
        <v>12</v>
      </c>
    </row>
    <row r="174" customFormat="false" ht="15" hidden="false" customHeight="false" outlineLevel="0" collapsed="false">
      <c r="A174" s="7" t="s">
        <v>365</v>
      </c>
      <c r="B174" s="9" t="n">
        <v>45649</v>
      </c>
      <c r="C174" s="7" t="s">
        <v>77</v>
      </c>
      <c r="D174" s="7" t="s">
        <v>78</v>
      </c>
      <c r="E174" s="7" t="s">
        <v>153</v>
      </c>
      <c r="F174" s="7" t="s">
        <v>154</v>
      </c>
      <c r="G174" s="7" t="s">
        <v>94</v>
      </c>
      <c r="H174" s="7" t="n">
        <v>2</v>
      </c>
      <c r="I174" s="10" t="n">
        <v>299.99</v>
      </c>
      <c r="J174" s="7" t="s">
        <v>82</v>
      </c>
      <c r="K174" s="7" t="s">
        <v>83</v>
      </c>
      <c r="L174" s="7" t="s">
        <v>70</v>
      </c>
      <c r="M174" s="9" t="n">
        <v>44721</v>
      </c>
      <c r="N174" s="10" t="n">
        <v>599.98</v>
      </c>
      <c r="O174" s="9" t="n">
        <f aca="false">EOMONTH(B174,0)</f>
        <v>45657</v>
      </c>
      <c r="P174" s="7" t="n">
        <f aca="true">DATEDIF(B174,TODAY(),"m")</f>
        <v>21</v>
      </c>
      <c r="Q174" s="7" t="str">
        <f aca="false">IF(K174=Analysis!$B$16,COUNTIF($K$2:K174,Analysis!$B$16),"")</f>
        <v/>
      </c>
      <c r="R174" s="7" t="n">
        <f aca="false">IFERROR(DATEDIF(M174,B174,"m"),"")</f>
        <v>30</v>
      </c>
    </row>
    <row r="175" customFormat="false" ht="15" hidden="false" customHeight="false" outlineLevel="0" collapsed="false">
      <c r="A175" s="7" t="s">
        <v>366</v>
      </c>
      <c r="B175" s="9" t="n">
        <v>45654</v>
      </c>
      <c r="C175" s="7" t="s">
        <v>90</v>
      </c>
      <c r="D175" s="7" t="s">
        <v>91</v>
      </c>
      <c r="E175" s="7" t="s">
        <v>153</v>
      </c>
      <c r="F175" s="7" t="s">
        <v>154</v>
      </c>
      <c r="G175" s="7" t="s">
        <v>94</v>
      </c>
      <c r="H175" s="7" t="n">
        <v>2</v>
      </c>
      <c r="I175" s="10" t="n">
        <v>299.99</v>
      </c>
      <c r="J175" s="7" t="s">
        <v>68</v>
      </c>
      <c r="K175" s="7" t="s">
        <v>98</v>
      </c>
      <c r="L175" s="7" t="s">
        <v>70</v>
      </c>
      <c r="M175" s="9" t="n">
        <v>44771</v>
      </c>
      <c r="N175" s="10" t="n">
        <v>599.98</v>
      </c>
      <c r="O175" s="9" t="n">
        <f aca="false">EOMONTH(B175,0)</f>
        <v>45657</v>
      </c>
      <c r="P175" s="7" t="n">
        <f aca="true">DATEDIF(B175,TODAY(),"m")</f>
        <v>21</v>
      </c>
      <c r="Q175" s="7" t="str">
        <f aca="false">IF(K175=Analysis!$B$16,COUNTIF($K$2:K175,Analysis!$B$16),"")</f>
        <v/>
      </c>
      <c r="R175" s="7" t="n">
        <f aca="false">IFERROR(DATEDIF(M175,B175,"m"),"")</f>
        <v>28</v>
      </c>
    </row>
    <row r="176" customFormat="false" ht="15" hidden="false" customHeight="false" outlineLevel="0" collapsed="false">
      <c r="A176" s="7" t="s">
        <v>367</v>
      </c>
      <c r="B176" s="9" t="n">
        <v>45654</v>
      </c>
      <c r="C176" s="7" t="s">
        <v>168</v>
      </c>
      <c r="D176" s="7" t="s">
        <v>169</v>
      </c>
      <c r="E176" s="7" t="s">
        <v>171</v>
      </c>
      <c r="F176" s="7" t="s">
        <v>172</v>
      </c>
      <c r="G176" s="7" t="s">
        <v>94</v>
      </c>
      <c r="H176" s="7" t="n">
        <v>4</v>
      </c>
      <c r="I176" s="10" t="n">
        <v>199.99</v>
      </c>
      <c r="J176" s="7" t="s">
        <v>74</v>
      </c>
      <c r="K176" s="7" t="s">
        <v>69</v>
      </c>
      <c r="L176" s="7" t="s">
        <v>70</v>
      </c>
      <c r="M176" s="9" t="n">
        <v>44523</v>
      </c>
      <c r="N176" s="10" t="n">
        <v>799.96</v>
      </c>
      <c r="O176" s="9" t="n">
        <f aca="false">EOMONTH(B176,0)</f>
        <v>45657</v>
      </c>
      <c r="P176" s="7" t="n">
        <f aca="true">DATEDIF(B176,TODAY(),"m")</f>
        <v>21</v>
      </c>
      <c r="Q176" s="7" t="n">
        <f aca="false">IF(K176=Analysis!$B$16,COUNTIF($K$2:K176,Analysis!$B$16),"")</f>
        <v>35</v>
      </c>
      <c r="R176" s="7" t="n">
        <f aca="false">IFERROR(DATEDIF(M176,B176,"m"),"")</f>
        <v>37</v>
      </c>
    </row>
    <row r="177" customFormat="false" ht="15" hidden="false" customHeight="false" outlineLevel="0" collapsed="false">
      <c r="A177" s="7" t="s">
        <v>368</v>
      </c>
      <c r="B177" s="9" t="n">
        <v>45655</v>
      </c>
      <c r="C177" s="7" t="s">
        <v>156</v>
      </c>
      <c r="D177" s="7" t="s">
        <v>157</v>
      </c>
      <c r="E177" s="7" t="s">
        <v>92</v>
      </c>
      <c r="F177" s="7" t="s">
        <v>93</v>
      </c>
      <c r="G177" s="7" t="s">
        <v>94</v>
      </c>
      <c r="H177" s="7" t="n">
        <v>5</v>
      </c>
      <c r="I177" s="10" t="n">
        <v>149.99</v>
      </c>
      <c r="J177" s="7" t="s">
        <v>68</v>
      </c>
      <c r="K177" s="7" t="s">
        <v>69</v>
      </c>
      <c r="L177" s="7" t="s">
        <v>75</v>
      </c>
      <c r="M177" s="9" t="n">
        <v>45347</v>
      </c>
      <c r="N177" s="10" t="n">
        <v>749.95</v>
      </c>
      <c r="O177" s="9" t="n">
        <f aca="false">EOMONTH(B177,0)</f>
        <v>45657</v>
      </c>
      <c r="P177" s="7" t="n">
        <f aca="true">DATEDIF(B177,TODAY(),"m")</f>
        <v>21</v>
      </c>
      <c r="Q177" s="7" t="n">
        <f aca="false">IF(K177=Analysis!$B$16,COUNTIF($K$2:K177,Analysis!$B$16),"")</f>
        <v>36</v>
      </c>
      <c r="R177" s="7" t="n">
        <f aca="false">IFERROR(DATEDIF(M177,B177,"m"),"")</f>
        <v>10</v>
      </c>
    </row>
    <row r="178" customFormat="false" ht="15" hidden="false" customHeight="false" outlineLevel="0" collapsed="false">
      <c r="A178" s="7" t="s">
        <v>369</v>
      </c>
      <c r="B178" s="9" t="n">
        <v>45655</v>
      </c>
      <c r="C178" s="7" t="s">
        <v>107</v>
      </c>
      <c r="D178" s="7" t="s">
        <v>108</v>
      </c>
      <c r="E178" s="7" t="s">
        <v>159</v>
      </c>
      <c r="F178" s="7" t="s">
        <v>160</v>
      </c>
      <c r="G178" s="7" t="s">
        <v>67</v>
      </c>
      <c r="H178" s="7" t="n">
        <v>1</v>
      </c>
      <c r="I178" s="10" t="n">
        <v>89.99</v>
      </c>
      <c r="J178" s="7" t="s">
        <v>74</v>
      </c>
      <c r="K178" s="7" t="s">
        <v>83</v>
      </c>
      <c r="L178" s="7" t="s">
        <v>75</v>
      </c>
      <c r="M178" s="9" t="n">
        <v>44591</v>
      </c>
      <c r="N178" s="10" t="n">
        <v>89.99</v>
      </c>
      <c r="O178" s="9" t="n">
        <f aca="false">EOMONTH(B178,0)</f>
        <v>45657</v>
      </c>
      <c r="P178" s="7" t="n">
        <f aca="true">DATEDIF(B178,TODAY(),"m")</f>
        <v>21</v>
      </c>
      <c r="Q178" s="7" t="str">
        <f aca="false">IF(K178=Analysis!$B$16,COUNTIF($K$2:K178,Analysis!$B$16),"")</f>
        <v/>
      </c>
      <c r="R178" s="7" t="n">
        <f aca="false">IFERROR(DATEDIF(M178,B178,"m"),"")</f>
        <v>34</v>
      </c>
    </row>
    <row r="179" customFormat="false" ht="15" hidden="false" customHeight="false" outlineLevel="0" collapsed="false">
      <c r="A179" s="7" t="s">
        <v>370</v>
      </c>
      <c r="B179" s="9" t="n">
        <v>45657</v>
      </c>
      <c r="C179" s="7" t="s">
        <v>134</v>
      </c>
      <c r="D179" s="7" t="s">
        <v>135</v>
      </c>
      <c r="E179" s="7" t="s">
        <v>109</v>
      </c>
      <c r="F179" s="7" t="s">
        <v>110</v>
      </c>
      <c r="G179" s="7" t="s">
        <v>67</v>
      </c>
      <c r="H179" s="7" t="n">
        <v>1</v>
      </c>
      <c r="I179" s="10" t="n">
        <v>899.99</v>
      </c>
      <c r="J179" s="7" t="s">
        <v>82</v>
      </c>
      <c r="K179" s="7" t="s">
        <v>88</v>
      </c>
      <c r="L179" s="7" t="s">
        <v>75</v>
      </c>
      <c r="M179" s="9" t="n">
        <v>45050</v>
      </c>
      <c r="N179" s="10" t="n">
        <v>899.99</v>
      </c>
      <c r="O179" s="9" t="n">
        <f aca="false">EOMONTH(B179,0)</f>
        <v>45657</v>
      </c>
      <c r="P179" s="7" t="n">
        <f aca="true">DATEDIF(B179,TODAY(),"m")</f>
        <v>21</v>
      </c>
      <c r="Q179" s="7" t="str">
        <f aca="false">IF(K179=Analysis!$B$16,COUNTIF($K$2:K179,Analysis!$B$16),"")</f>
        <v/>
      </c>
      <c r="R179" s="7" t="n">
        <f aca="false">IFERROR(DATEDIF(M179,B179,"m"),"")</f>
        <v>19</v>
      </c>
    </row>
    <row r="180" customFormat="false" ht="15" hidden="false" customHeight="false" outlineLevel="0" collapsed="false">
      <c r="A180" s="7" t="s">
        <v>371</v>
      </c>
      <c r="B180" s="9" t="n">
        <v>45660</v>
      </c>
      <c r="C180" s="7" t="s">
        <v>195</v>
      </c>
      <c r="D180" s="7" t="s">
        <v>196</v>
      </c>
      <c r="E180" s="7" t="s">
        <v>159</v>
      </c>
      <c r="F180" s="7" t="s">
        <v>160</v>
      </c>
      <c r="G180" s="7" t="s">
        <v>67</v>
      </c>
      <c r="H180" s="7" t="n">
        <v>2</v>
      </c>
      <c r="I180" s="10" t="n">
        <v>89.99</v>
      </c>
      <c r="J180" s="7" t="s">
        <v>74</v>
      </c>
      <c r="K180" s="7" t="s">
        <v>83</v>
      </c>
      <c r="L180" s="7" t="s">
        <v>75</v>
      </c>
      <c r="M180" s="9" t="n">
        <v>44564</v>
      </c>
      <c r="N180" s="10" t="n">
        <v>179.98</v>
      </c>
      <c r="O180" s="9" t="n">
        <f aca="false">EOMONTH(B180,0)</f>
        <v>45688</v>
      </c>
      <c r="P180" s="7" t="n">
        <f aca="true">DATEDIF(B180,TODAY(),"m")</f>
        <v>21</v>
      </c>
      <c r="Q180" s="7" t="str">
        <f aca="false">IF(K180=Analysis!$B$16,COUNTIF($K$2:K180,Analysis!$B$16),"")</f>
        <v/>
      </c>
      <c r="R180" s="7" t="n">
        <f aca="false">IFERROR(DATEDIF(M180,B180,"m"),"")</f>
        <v>36</v>
      </c>
    </row>
    <row r="181" customFormat="false" ht="15" hidden="false" customHeight="false" outlineLevel="0" collapsed="false">
      <c r="A181" s="7" t="s">
        <v>372</v>
      </c>
      <c r="B181" s="9" t="n">
        <v>45661</v>
      </c>
      <c r="C181" s="7" t="s">
        <v>373</v>
      </c>
      <c r="D181" s="7" t="s">
        <v>374</v>
      </c>
      <c r="E181" s="7" t="s">
        <v>109</v>
      </c>
      <c r="F181" s="7" t="s">
        <v>110</v>
      </c>
      <c r="G181" s="7" t="s">
        <v>67</v>
      </c>
      <c r="H181" s="7" t="n">
        <v>1</v>
      </c>
      <c r="I181" s="10" t="n">
        <v>899.99</v>
      </c>
      <c r="J181" s="7" t="s">
        <v>82</v>
      </c>
      <c r="K181" s="7" t="s">
        <v>88</v>
      </c>
      <c r="L181" s="7" t="s">
        <v>84</v>
      </c>
      <c r="M181" s="9" t="n">
        <v>44752</v>
      </c>
      <c r="N181" s="10" t="n">
        <v>899.99</v>
      </c>
      <c r="O181" s="9" t="n">
        <f aca="false">EOMONTH(B181,0)</f>
        <v>45688</v>
      </c>
      <c r="P181" s="7" t="n">
        <f aca="true">DATEDIF(B181,TODAY(),"m")</f>
        <v>21</v>
      </c>
      <c r="Q181" s="7" t="str">
        <f aca="false">IF(K181=Analysis!$B$16,COUNTIF($K$2:K181,Analysis!$B$16),"")</f>
        <v/>
      </c>
      <c r="R181" s="7" t="n">
        <f aca="false">IFERROR(DATEDIF(M181,B181,"m"),"")</f>
        <v>29</v>
      </c>
    </row>
    <row r="182" customFormat="false" ht="15" hidden="false" customHeight="false" outlineLevel="0" collapsed="false">
      <c r="A182" s="7" t="s">
        <v>375</v>
      </c>
      <c r="B182" s="9" t="n">
        <v>45663</v>
      </c>
      <c r="C182" s="7" t="s">
        <v>90</v>
      </c>
      <c r="D182" s="7" t="s">
        <v>91</v>
      </c>
      <c r="E182" s="7" t="s">
        <v>153</v>
      </c>
      <c r="F182" s="7" t="s">
        <v>154</v>
      </c>
      <c r="G182" s="7" t="s">
        <v>94</v>
      </c>
      <c r="H182" s="7" t="n">
        <v>3</v>
      </c>
      <c r="I182" s="10" t="n">
        <v>299.99</v>
      </c>
      <c r="J182" s="7" t="s">
        <v>68</v>
      </c>
      <c r="K182" s="7" t="s">
        <v>83</v>
      </c>
      <c r="L182" s="7" t="s">
        <v>84</v>
      </c>
      <c r="M182" s="9" t="n">
        <v>44422</v>
      </c>
      <c r="N182" s="10" t="n">
        <v>899.97</v>
      </c>
      <c r="O182" s="9" t="n">
        <f aca="false">EOMONTH(B182,0)</f>
        <v>45688</v>
      </c>
      <c r="P182" s="7" t="n">
        <f aca="true">DATEDIF(B182,TODAY(),"m")</f>
        <v>21</v>
      </c>
      <c r="Q182" s="7" t="str">
        <f aca="false">IF(K182=Analysis!$B$16,COUNTIF($K$2:K182,Analysis!$B$16),"")</f>
        <v/>
      </c>
      <c r="R182" s="7" t="n">
        <f aca="false">IFERROR(DATEDIF(M182,B182,"m"),"")</f>
        <v>40</v>
      </c>
    </row>
    <row r="183" customFormat="false" ht="15" hidden="false" customHeight="false" outlineLevel="0" collapsed="false">
      <c r="A183" s="7" t="s">
        <v>376</v>
      </c>
      <c r="B183" s="9" t="n">
        <v>45663</v>
      </c>
      <c r="C183" s="7" t="s">
        <v>177</v>
      </c>
      <c r="D183" s="7" t="s">
        <v>178</v>
      </c>
      <c r="E183" s="7" t="s">
        <v>100</v>
      </c>
      <c r="F183" s="7" t="s">
        <v>101</v>
      </c>
      <c r="G183" s="7" t="s">
        <v>67</v>
      </c>
      <c r="H183" s="7" t="n">
        <v>5</v>
      </c>
      <c r="I183" s="10" t="n">
        <v>149.99</v>
      </c>
      <c r="J183" s="7" t="s">
        <v>82</v>
      </c>
      <c r="K183" s="7" t="s">
        <v>111</v>
      </c>
      <c r="L183" s="7" t="s">
        <v>75</v>
      </c>
      <c r="M183" s="9" t="n">
        <v>44824</v>
      </c>
      <c r="N183" s="10" t="n">
        <v>749.95</v>
      </c>
      <c r="O183" s="9" t="n">
        <f aca="false">EOMONTH(B183,0)</f>
        <v>45688</v>
      </c>
      <c r="P183" s="7" t="n">
        <f aca="true">DATEDIF(B183,TODAY(),"m")</f>
        <v>21</v>
      </c>
      <c r="Q183" s="7" t="str">
        <f aca="false">IF(K183=Analysis!$B$16,COUNTIF($K$2:K183,Analysis!$B$16),"")</f>
        <v/>
      </c>
      <c r="R183" s="7" t="n">
        <f aca="false">IFERROR(DATEDIF(M183,B183,"m"),"")</f>
        <v>27</v>
      </c>
    </row>
    <row r="184" customFormat="false" ht="15" hidden="false" customHeight="false" outlineLevel="0" collapsed="false">
      <c r="A184" s="7" t="s">
        <v>377</v>
      </c>
      <c r="B184" s="9" t="n">
        <v>45666</v>
      </c>
      <c r="C184" s="7" t="s">
        <v>116</v>
      </c>
      <c r="D184" s="7" t="s">
        <v>117</v>
      </c>
      <c r="E184" s="7" t="s">
        <v>128</v>
      </c>
      <c r="F184" s="7" t="s">
        <v>129</v>
      </c>
      <c r="G184" s="7" t="s">
        <v>67</v>
      </c>
      <c r="H184" s="7" t="n">
        <v>3</v>
      </c>
      <c r="I184" s="10" t="n">
        <v>699.99</v>
      </c>
      <c r="J184" s="7" t="s">
        <v>74</v>
      </c>
      <c r="K184" s="7" t="s">
        <v>69</v>
      </c>
      <c r="L184" s="7" t="s">
        <v>75</v>
      </c>
      <c r="M184" s="9" t="n">
        <v>45105</v>
      </c>
      <c r="N184" s="10" t="n">
        <v>2099.97</v>
      </c>
      <c r="O184" s="9" t="n">
        <f aca="false">EOMONTH(B184,0)</f>
        <v>45688</v>
      </c>
      <c r="P184" s="7" t="n">
        <f aca="true">DATEDIF(B184,TODAY(),"m")</f>
        <v>21</v>
      </c>
      <c r="Q184" s="7" t="n">
        <f aca="false">IF(K184=Analysis!$B$16,COUNTIF($K$2:K184,Analysis!$B$16),"")</f>
        <v>37</v>
      </c>
      <c r="R184" s="7" t="n">
        <f aca="false">IFERROR(DATEDIF(M184,B184,"m"),"")</f>
        <v>18</v>
      </c>
    </row>
    <row r="185" customFormat="false" ht="15" hidden="false" customHeight="false" outlineLevel="0" collapsed="false">
      <c r="A185" s="7" t="s">
        <v>378</v>
      </c>
      <c r="B185" s="9" t="n">
        <v>45667</v>
      </c>
      <c r="C185" s="7" t="s">
        <v>156</v>
      </c>
      <c r="D185" s="7" t="s">
        <v>157</v>
      </c>
      <c r="E185" s="7" t="s">
        <v>171</v>
      </c>
      <c r="F185" s="7" t="s">
        <v>172</v>
      </c>
      <c r="G185" s="7" t="s">
        <v>94</v>
      </c>
      <c r="H185" s="7" t="n">
        <v>5</v>
      </c>
      <c r="I185" s="10" t="n">
        <v>199.99</v>
      </c>
      <c r="J185" s="7" t="s">
        <v>82</v>
      </c>
      <c r="K185" s="7" t="s">
        <v>69</v>
      </c>
      <c r="L185" s="7" t="s">
        <v>84</v>
      </c>
      <c r="M185" s="9" t="n">
        <v>44633</v>
      </c>
      <c r="N185" s="10" t="n">
        <v>999.95</v>
      </c>
      <c r="O185" s="9" t="n">
        <f aca="false">EOMONTH(B185,0)</f>
        <v>45688</v>
      </c>
      <c r="P185" s="7" t="n">
        <f aca="true">DATEDIF(B185,TODAY(),"m")</f>
        <v>21</v>
      </c>
      <c r="Q185" s="7" t="n">
        <f aca="false">IF(K185=Analysis!$B$16,COUNTIF($K$2:K185,Analysis!$B$16),"")</f>
        <v>38</v>
      </c>
      <c r="R185" s="7" t="n">
        <f aca="false">IFERROR(DATEDIF(M185,B185,"m"),"")</f>
        <v>33</v>
      </c>
    </row>
    <row r="186" customFormat="false" ht="15" hidden="false" customHeight="false" outlineLevel="0" collapsed="false">
      <c r="A186" s="7" t="s">
        <v>379</v>
      </c>
      <c r="B186" s="9" t="n">
        <v>45667</v>
      </c>
      <c r="C186" s="7" t="s">
        <v>141</v>
      </c>
      <c r="D186" s="7" t="s">
        <v>142</v>
      </c>
      <c r="E186" s="7" t="s">
        <v>65</v>
      </c>
      <c r="F186" s="7" t="s">
        <v>66</v>
      </c>
      <c r="G186" s="7" t="s">
        <v>67</v>
      </c>
      <c r="H186" s="7" t="n">
        <v>5</v>
      </c>
      <c r="I186" s="10" t="n">
        <v>249.99</v>
      </c>
      <c r="J186" s="7" t="s">
        <v>74</v>
      </c>
      <c r="K186" s="7" t="s">
        <v>83</v>
      </c>
      <c r="L186" s="7" t="s">
        <v>70</v>
      </c>
      <c r="M186" s="9" t="n">
        <v>45330</v>
      </c>
      <c r="N186" s="10" t="n">
        <v>1249.95</v>
      </c>
      <c r="O186" s="9" t="n">
        <f aca="false">EOMONTH(B186,0)</f>
        <v>45688</v>
      </c>
      <c r="P186" s="7" t="n">
        <f aca="true">DATEDIF(B186,TODAY(),"m")</f>
        <v>21</v>
      </c>
      <c r="Q186" s="7" t="str">
        <f aca="false">IF(K186=Analysis!$B$16,COUNTIF($K$2:K186,Analysis!$B$16),"")</f>
        <v/>
      </c>
      <c r="R186" s="7" t="n">
        <f aca="false">IFERROR(DATEDIF(M186,B186,"m"),"")</f>
        <v>11</v>
      </c>
    </row>
    <row r="187" customFormat="false" ht="15" hidden="false" customHeight="false" outlineLevel="0" collapsed="false">
      <c r="A187" s="7" t="s">
        <v>380</v>
      </c>
      <c r="B187" s="9" t="n">
        <v>45668</v>
      </c>
      <c r="C187" s="7" t="s">
        <v>186</v>
      </c>
      <c r="D187" s="7" t="s">
        <v>187</v>
      </c>
      <c r="E187" s="7" t="s">
        <v>100</v>
      </c>
      <c r="F187" s="7" t="s">
        <v>101</v>
      </c>
      <c r="G187" s="7" t="s">
        <v>67</v>
      </c>
      <c r="H187" s="7" t="n">
        <v>4</v>
      </c>
      <c r="I187" s="10" t="n">
        <v>149.99</v>
      </c>
      <c r="J187" s="7" t="s">
        <v>105</v>
      </c>
      <c r="K187" s="7" t="s">
        <v>111</v>
      </c>
      <c r="L187" s="7" t="s">
        <v>84</v>
      </c>
      <c r="M187" s="9" t="n">
        <v>44536</v>
      </c>
      <c r="N187" s="10" t="n">
        <v>599.96</v>
      </c>
      <c r="O187" s="9" t="n">
        <f aca="false">EOMONTH(B187,0)</f>
        <v>45688</v>
      </c>
      <c r="P187" s="7" t="n">
        <f aca="true">DATEDIF(B187,TODAY(),"m")</f>
        <v>21</v>
      </c>
      <c r="Q187" s="7" t="str">
        <f aca="false">IF(K187=Analysis!$B$16,COUNTIF($K$2:K187,Analysis!$B$16),"")</f>
        <v/>
      </c>
      <c r="R187" s="7" t="n">
        <f aca="false">IFERROR(DATEDIF(M187,B187,"m"),"")</f>
        <v>37</v>
      </c>
    </row>
    <row r="188" customFormat="false" ht="15" hidden="false" customHeight="false" outlineLevel="0" collapsed="false">
      <c r="A188" s="7" t="s">
        <v>381</v>
      </c>
      <c r="B188" s="9" t="n">
        <v>45668</v>
      </c>
      <c r="C188" s="7" t="s">
        <v>126</v>
      </c>
      <c r="D188" s="7" t="s">
        <v>127</v>
      </c>
      <c r="E188" s="7" t="s">
        <v>128</v>
      </c>
      <c r="F188" s="7" t="s">
        <v>129</v>
      </c>
      <c r="G188" s="7" t="s">
        <v>67</v>
      </c>
      <c r="H188" s="7" t="n">
        <v>3</v>
      </c>
      <c r="I188" s="10" t="n">
        <v>699.99</v>
      </c>
      <c r="J188" s="7" t="s">
        <v>68</v>
      </c>
      <c r="K188" s="7" t="s">
        <v>88</v>
      </c>
      <c r="L188" s="7" t="s">
        <v>75</v>
      </c>
      <c r="M188" s="9" t="n">
        <v>44602</v>
      </c>
      <c r="N188" s="10" t="n">
        <v>2099.97</v>
      </c>
      <c r="O188" s="9" t="n">
        <f aca="false">EOMONTH(B188,0)</f>
        <v>45688</v>
      </c>
      <c r="P188" s="7" t="n">
        <f aca="true">DATEDIF(B188,TODAY(),"m")</f>
        <v>21</v>
      </c>
      <c r="Q188" s="7" t="str">
        <f aca="false">IF(K188=Analysis!$B$16,COUNTIF($K$2:K188,Analysis!$B$16),"")</f>
        <v/>
      </c>
      <c r="R188" s="7" t="n">
        <f aca="false">IFERROR(DATEDIF(M188,B188,"m"),"")</f>
        <v>35</v>
      </c>
    </row>
    <row r="189" customFormat="false" ht="15" hidden="false" customHeight="false" outlineLevel="0" collapsed="false">
      <c r="A189" s="7" t="s">
        <v>382</v>
      </c>
      <c r="B189" s="9" t="n">
        <v>45670</v>
      </c>
      <c r="C189" s="7" t="s">
        <v>134</v>
      </c>
      <c r="D189" s="7" t="s">
        <v>135</v>
      </c>
      <c r="E189" s="7" t="s">
        <v>153</v>
      </c>
      <c r="F189" s="7" t="s">
        <v>154</v>
      </c>
      <c r="G189" s="7" t="s">
        <v>94</v>
      </c>
      <c r="H189" s="7" t="n">
        <v>1</v>
      </c>
      <c r="I189" s="10" t="n">
        <v>299.99</v>
      </c>
      <c r="J189" s="7" t="s">
        <v>74</v>
      </c>
      <c r="K189" s="7" t="s">
        <v>88</v>
      </c>
      <c r="L189" s="7" t="s">
        <v>70</v>
      </c>
      <c r="M189" s="9" t="n">
        <v>44436</v>
      </c>
      <c r="N189" s="10" t="n">
        <v>299.99</v>
      </c>
      <c r="O189" s="9" t="n">
        <f aca="false">EOMONTH(B189,0)</f>
        <v>45688</v>
      </c>
      <c r="P189" s="7" t="n">
        <f aca="true">DATEDIF(B189,TODAY(),"m")</f>
        <v>20</v>
      </c>
      <c r="Q189" s="7" t="str">
        <f aca="false">IF(K189=Analysis!$B$16,COUNTIF($K$2:K189,Analysis!$B$16),"")</f>
        <v/>
      </c>
      <c r="R189" s="7" t="n">
        <f aca="false">IFERROR(DATEDIF(M189,B189,"m"),"")</f>
        <v>40</v>
      </c>
    </row>
    <row r="190" customFormat="false" ht="15" hidden="false" customHeight="false" outlineLevel="0" collapsed="false">
      <c r="A190" s="7" t="s">
        <v>383</v>
      </c>
      <c r="B190" s="9" t="n">
        <v>45670</v>
      </c>
      <c r="C190" s="7" t="s">
        <v>341</v>
      </c>
      <c r="D190" s="7" t="s">
        <v>342</v>
      </c>
      <c r="E190" s="7" t="s">
        <v>165</v>
      </c>
      <c r="F190" s="7" t="s">
        <v>166</v>
      </c>
      <c r="G190" s="7" t="s">
        <v>81</v>
      </c>
      <c r="H190" s="7" t="n">
        <v>1</v>
      </c>
      <c r="I190" s="10" t="n">
        <v>79.99</v>
      </c>
      <c r="J190" s="7" t="s">
        <v>74</v>
      </c>
      <c r="K190" s="7" t="s">
        <v>83</v>
      </c>
      <c r="L190" s="7" t="s">
        <v>70</v>
      </c>
      <c r="M190" s="9" t="n">
        <v>45322</v>
      </c>
      <c r="N190" s="10" t="n">
        <v>79.99</v>
      </c>
      <c r="O190" s="9" t="n">
        <f aca="false">EOMONTH(B190,0)</f>
        <v>45688</v>
      </c>
      <c r="P190" s="7" t="n">
        <f aca="true">DATEDIF(B190,TODAY(),"m")</f>
        <v>20</v>
      </c>
      <c r="Q190" s="7" t="str">
        <f aca="false">IF(K190=Analysis!$B$16,COUNTIF($K$2:K190,Analysis!$B$16),"")</f>
        <v/>
      </c>
      <c r="R190" s="7" t="n">
        <f aca="false">IFERROR(DATEDIF(M190,B190,"m"),"")</f>
        <v>11</v>
      </c>
    </row>
    <row r="191" customFormat="false" ht="15" hidden="false" customHeight="false" outlineLevel="0" collapsed="false">
      <c r="A191" s="7" t="s">
        <v>384</v>
      </c>
      <c r="B191" s="9" t="n">
        <v>45671</v>
      </c>
      <c r="C191" s="7" t="s">
        <v>282</v>
      </c>
      <c r="D191" s="7" t="s">
        <v>283</v>
      </c>
      <c r="E191" s="7" t="s">
        <v>153</v>
      </c>
      <c r="F191" s="7" t="s">
        <v>154</v>
      </c>
      <c r="G191" s="7" t="s">
        <v>94</v>
      </c>
      <c r="H191" s="7" t="n">
        <v>3</v>
      </c>
      <c r="I191" s="10" t="n">
        <v>299.99</v>
      </c>
      <c r="J191" s="7" t="s">
        <v>74</v>
      </c>
      <c r="K191" s="7" t="s">
        <v>83</v>
      </c>
      <c r="L191" s="7" t="s">
        <v>70</v>
      </c>
      <c r="M191" s="9" t="n">
        <v>45204</v>
      </c>
      <c r="N191" s="10" t="n">
        <v>899.97</v>
      </c>
      <c r="O191" s="9" t="n">
        <f aca="false">EOMONTH(B191,0)</f>
        <v>45688</v>
      </c>
      <c r="P191" s="7" t="n">
        <f aca="true">DATEDIF(B191,TODAY(),"m")</f>
        <v>20</v>
      </c>
      <c r="Q191" s="7" t="str">
        <f aca="false">IF(K191=Analysis!$B$16,COUNTIF($K$2:K191,Analysis!$B$16),"")</f>
        <v/>
      </c>
      <c r="R191" s="7" t="n">
        <f aca="false">IFERROR(DATEDIF(M191,B191,"m"),"")</f>
        <v>15</v>
      </c>
    </row>
    <row r="192" customFormat="false" ht="15" hidden="false" customHeight="false" outlineLevel="0" collapsed="false">
      <c r="A192" s="7" t="s">
        <v>385</v>
      </c>
      <c r="B192" s="9" t="n">
        <v>45671</v>
      </c>
      <c r="C192" s="7" t="s">
        <v>205</v>
      </c>
      <c r="D192" s="7" t="s">
        <v>206</v>
      </c>
      <c r="E192" s="7" t="s">
        <v>65</v>
      </c>
      <c r="F192" s="7" t="s">
        <v>66</v>
      </c>
      <c r="G192" s="7" t="s">
        <v>67</v>
      </c>
      <c r="H192" s="7" t="n">
        <v>4</v>
      </c>
      <c r="I192" s="10" t="n">
        <v>249.99</v>
      </c>
      <c r="J192" s="7" t="s">
        <v>74</v>
      </c>
      <c r="K192" s="7" t="s">
        <v>88</v>
      </c>
      <c r="L192" s="7" t="s">
        <v>75</v>
      </c>
      <c r="M192" s="9" t="n">
        <v>44460</v>
      </c>
      <c r="N192" s="10" t="n">
        <v>999.96</v>
      </c>
      <c r="O192" s="9" t="n">
        <f aca="false">EOMONTH(B192,0)</f>
        <v>45688</v>
      </c>
      <c r="P192" s="7" t="n">
        <f aca="true">DATEDIF(B192,TODAY(),"m")</f>
        <v>20</v>
      </c>
      <c r="Q192" s="7" t="str">
        <f aca="false">IF(K192=Analysis!$B$16,COUNTIF($K$2:K192,Analysis!$B$16),"")</f>
        <v/>
      </c>
      <c r="R192" s="7" t="n">
        <f aca="false">IFERROR(DATEDIF(M192,B192,"m"),"")</f>
        <v>39</v>
      </c>
    </row>
    <row r="193" customFormat="false" ht="15" hidden="false" customHeight="false" outlineLevel="0" collapsed="false">
      <c r="A193" s="7" t="s">
        <v>386</v>
      </c>
      <c r="B193" s="9" t="n">
        <v>45671</v>
      </c>
      <c r="C193" s="7" t="s">
        <v>168</v>
      </c>
      <c r="D193" s="7" t="s">
        <v>169</v>
      </c>
      <c r="E193" s="7" t="s">
        <v>100</v>
      </c>
      <c r="F193" s="7" t="s">
        <v>101</v>
      </c>
      <c r="G193" s="7" t="s">
        <v>67</v>
      </c>
      <c r="H193" s="7" t="n">
        <v>2</v>
      </c>
      <c r="I193" s="10" t="n">
        <v>149.99</v>
      </c>
      <c r="J193" s="7" t="s">
        <v>68</v>
      </c>
      <c r="K193" s="7" t="s">
        <v>88</v>
      </c>
      <c r="L193" s="7" t="s">
        <v>84</v>
      </c>
      <c r="M193" s="9" t="n">
        <v>44913</v>
      </c>
      <c r="N193" s="10" t="n">
        <v>299.98</v>
      </c>
      <c r="O193" s="9" t="n">
        <f aca="false">EOMONTH(B193,0)</f>
        <v>45688</v>
      </c>
      <c r="P193" s="7" t="n">
        <f aca="true">DATEDIF(B193,TODAY(),"m")</f>
        <v>20</v>
      </c>
      <c r="Q193" s="7" t="str">
        <f aca="false">IF(K193=Analysis!$B$16,COUNTIF($K$2:K193,Analysis!$B$16),"")</f>
        <v/>
      </c>
      <c r="R193" s="7" t="n">
        <f aca="false">IFERROR(DATEDIF(M193,B193,"m"),"")</f>
        <v>24</v>
      </c>
    </row>
    <row r="194" customFormat="false" ht="15" hidden="false" customHeight="false" outlineLevel="0" collapsed="false">
      <c r="A194" s="7" t="s">
        <v>387</v>
      </c>
      <c r="B194" s="9" t="n">
        <v>45673</v>
      </c>
      <c r="C194" s="7" t="s">
        <v>259</v>
      </c>
      <c r="D194" s="7" t="s">
        <v>260</v>
      </c>
      <c r="E194" s="7" t="s">
        <v>153</v>
      </c>
      <c r="F194" s="7" t="s">
        <v>154</v>
      </c>
      <c r="G194" s="7" t="s">
        <v>94</v>
      </c>
      <c r="H194" s="7" t="n">
        <v>5</v>
      </c>
      <c r="I194" s="10" t="n">
        <v>299.99</v>
      </c>
      <c r="J194" s="7" t="s">
        <v>105</v>
      </c>
      <c r="K194" s="7" t="s">
        <v>69</v>
      </c>
      <c r="L194" s="7" t="s">
        <v>70</v>
      </c>
      <c r="M194" s="9" t="n">
        <v>44431</v>
      </c>
      <c r="N194" s="10" t="n">
        <v>1499.95</v>
      </c>
      <c r="O194" s="9" t="n">
        <f aca="false">EOMONTH(B194,0)</f>
        <v>45688</v>
      </c>
      <c r="P194" s="7" t="n">
        <f aca="true">DATEDIF(B194,TODAY(),"m")</f>
        <v>20</v>
      </c>
      <c r="Q194" s="7" t="n">
        <f aca="false">IF(K194=Analysis!$B$16,COUNTIF($K$2:K194,Analysis!$B$16),"")</f>
        <v>39</v>
      </c>
      <c r="R194" s="7" t="n">
        <f aca="false">IFERROR(DATEDIF(M194,B194,"m"),"")</f>
        <v>40</v>
      </c>
    </row>
    <row r="195" customFormat="false" ht="15" hidden="false" customHeight="false" outlineLevel="0" collapsed="false">
      <c r="A195" s="7" t="s">
        <v>388</v>
      </c>
      <c r="B195" s="9" t="n">
        <v>45673</v>
      </c>
      <c r="C195" s="7" t="s">
        <v>107</v>
      </c>
      <c r="D195" s="7" t="s">
        <v>108</v>
      </c>
      <c r="E195" s="7" t="s">
        <v>92</v>
      </c>
      <c r="F195" s="7" t="s">
        <v>93</v>
      </c>
      <c r="G195" s="7" t="s">
        <v>94</v>
      </c>
      <c r="H195" s="7" t="n">
        <v>3</v>
      </c>
      <c r="I195" s="10" t="n">
        <v>149.99</v>
      </c>
      <c r="J195" s="7" t="s">
        <v>74</v>
      </c>
      <c r="K195" s="7" t="s">
        <v>111</v>
      </c>
      <c r="L195" s="7" t="s">
        <v>84</v>
      </c>
      <c r="M195" s="9" t="n">
        <v>44395</v>
      </c>
      <c r="N195" s="10" t="n">
        <v>449.97</v>
      </c>
      <c r="O195" s="9" t="n">
        <f aca="false">EOMONTH(B195,0)</f>
        <v>45688</v>
      </c>
      <c r="P195" s="7" t="n">
        <f aca="true">DATEDIF(B195,TODAY(),"m")</f>
        <v>20</v>
      </c>
      <c r="Q195" s="7" t="str">
        <f aca="false">IF(K195=Analysis!$B$16,COUNTIF($K$2:K195,Analysis!$B$16),"")</f>
        <v/>
      </c>
      <c r="R195" s="7" t="n">
        <f aca="false">IFERROR(DATEDIF(M195,B195,"m"),"")</f>
        <v>41</v>
      </c>
    </row>
    <row r="196" customFormat="false" ht="15" hidden="false" customHeight="false" outlineLevel="0" collapsed="false">
      <c r="A196" s="7" t="s">
        <v>389</v>
      </c>
      <c r="B196" s="9" t="n">
        <v>45673</v>
      </c>
      <c r="C196" s="7" t="s">
        <v>274</v>
      </c>
      <c r="D196" s="7" t="s">
        <v>275</v>
      </c>
      <c r="E196" s="7" t="s">
        <v>171</v>
      </c>
      <c r="F196" s="7" t="s">
        <v>172</v>
      </c>
      <c r="G196" s="7" t="s">
        <v>94</v>
      </c>
      <c r="H196" s="7" t="n">
        <v>4</v>
      </c>
      <c r="I196" s="10" t="n">
        <v>199.99</v>
      </c>
      <c r="J196" s="7" t="s">
        <v>105</v>
      </c>
      <c r="K196" s="7" t="s">
        <v>83</v>
      </c>
      <c r="L196" s="7" t="s">
        <v>84</v>
      </c>
      <c r="M196" s="9" t="n">
        <v>44544</v>
      </c>
      <c r="N196" s="10" t="n">
        <v>799.96</v>
      </c>
      <c r="O196" s="9" t="n">
        <f aca="false">EOMONTH(B196,0)</f>
        <v>45688</v>
      </c>
      <c r="P196" s="7" t="n">
        <f aca="true">DATEDIF(B196,TODAY(),"m")</f>
        <v>20</v>
      </c>
      <c r="Q196" s="7" t="str">
        <f aca="false">IF(K196=Analysis!$B$16,COUNTIF($K$2:K196,Analysis!$B$16),"")</f>
        <v/>
      </c>
      <c r="R196" s="7" t="n">
        <f aca="false">IFERROR(DATEDIF(M196,B196,"m"),"")</f>
        <v>37</v>
      </c>
    </row>
    <row r="197" customFormat="false" ht="15" hidden="false" customHeight="false" outlineLevel="0" collapsed="false">
      <c r="A197" s="7" t="s">
        <v>390</v>
      </c>
      <c r="B197" s="9" t="n">
        <v>45676</v>
      </c>
      <c r="C197" s="7" t="s">
        <v>177</v>
      </c>
      <c r="D197" s="7" t="s">
        <v>178</v>
      </c>
      <c r="E197" s="7" t="s">
        <v>79</v>
      </c>
      <c r="F197" s="7" t="s">
        <v>80</v>
      </c>
      <c r="G197" s="7" t="s">
        <v>81</v>
      </c>
      <c r="H197" s="7" t="n">
        <v>5</v>
      </c>
      <c r="I197" s="10" t="n">
        <v>59.99</v>
      </c>
      <c r="J197" s="7" t="s">
        <v>105</v>
      </c>
      <c r="K197" s="7" t="s">
        <v>111</v>
      </c>
      <c r="L197" s="7" t="s">
        <v>70</v>
      </c>
      <c r="M197" s="9" t="n">
        <v>44642</v>
      </c>
      <c r="N197" s="10" t="n">
        <v>299.95</v>
      </c>
      <c r="O197" s="9" t="n">
        <f aca="false">EOMONTH(B197,0)</f>
        <v>45688</v>
      </c>
      <c r="P197" s="7" t="n">
        <f aca="true">DATEDIF(B197,TODAY(),"m")</f>
        <v>20</v>
      </c>
      <c r="Q197" s="7" t="str">
        <f aca="false">IF(K197=Analysis!$B$16,COUNTIF($K$2:K197,Analysis!$B$16),"")</f>
        <v/>
      </c>
      <c r="R197" s="7" t="n">
        <f aca="false">IFERROR(DATEDIF(M197,B197,"m"),"")</f>
        <v>33</v>
      </c>
    </row>
    <row r="198" customFormat="false" ht="15" hidden="false" customHeight="false" outlineLevel="0" collapsed="false">
      <c r="A198" s="7" t="s">
        <v>391</v>
      </c>
      <c r="B198" s="9" t="n">
        <v>45682</v>
      </c>
      <c r="C198" s="7" t="s">
        <v>113</v>
      </c>
      <c r="D198" s="7" t="s">
        <v>114</v>
      </c>
      <c r="E198" s="7" t="s">
        <v>79</v>
      </c>
      <c r="F198" s="7" t="s">
        <v>80</v>
      </c>
      <c r="G198" s="7" t="s">
        <v>81</v>
      </c>
      <c r="H198" s="7" t="n">
        <v>4</v>
      </c>
      <c r="I198" s="10" t="n">
        <v>59.99</v>
      </c>
      <c r="J198" s="7" t="s">
        <v>105</v>
      </c>
      <c r="K198" s="7" t="s">
        <v>111</v>
      </c>
      <c r="L198" s="7" t="s">
        <v>84</v>
      </c>
      <c r="M198" s="9" t="n">
        <v>44564</v>
      </c>
      <c r="N198" s="10" t="n">
        <v>239.96</v>
      </c>
      <c r="O198" s="9" t="n">
        <f aca="false">EOMONTH(B198,0)</f>
        <v>45688</v>
      </c>
      <c r="P198" s="7" t="n">
        <f aca="true">DATEDIF(B198,TODAY(),"m")</f>
        <v>20</v>
      </c>
      <c r="Q198" s="7" t="str">
        <f aca="false">IF(K198=Analysis!$B$16,COUNTIF($K$2:K198,Analysis!$B$16),"")</f>
        <v/>
      </c>
      <c r="R198" s="7" t="n">
        <f aca="false">IFERROR(DATEDIF(M198,B198,"m"),"")</f>
        <v>36</v>
      </c>
    </row>
    <row r="199" customFormat="false" ht="15" hidden="false" customHeight="false" outlineLevel="0" collapsed="false">
      <c r="A199" s="7" t="s">
        <v>392</v>
      </c>
      <c r="B199" s="9" t="n">
        <v>45683</v>
      </c>
      <c r="C199" s="7" t="s">
        <v>96</v>
      </c>
      <c r="D199" s="7" t="s">
        <v>97</v>
      </c>
      <c r="E199" s="7" t="s">
        <v>65</v>
      </c>
      <c r="F199" s="7" t="s">
        <v>66</v>
      </c>
      <c r="G199" s="7" t="s">
        <v>67</v>
      </c>
      <c r="H199" s="7" t="n">
        <v>4</v>
      </c>
      <c r="I199" s="10" t="n">
        <v>249.99</v>
      </c>
      <c r="J199" s="7" t="s">
        <v>105</v>
      </c>
      <c r="K199" s="7" t="s">
        <v>69</v>
      </c>
      <c r="L199" s="7" t="s">
        <v>75</v>
      </c>
      <c r="M199" s="9" t="n">
        <v>45217</v>
      </c>
      <c r="N199" s="10" t="n">
        <v>999.96</v>
      </c>
      <c r="O199" s="9" t="n">
        <f aca="false">EOMONTH(B199,0)</f>
        <v>45688</v>
      </c>
      <c r="P199" s="7" t="n">
        <f aca="true">DATEDIF(B199,TODAY(),"m")</f>
        <v>20</v>
      </c>
      <c r="Q199" s="7" t="n">
        <f aca="false">IF(K199=Analysis!$B$16,COUNTIF($K$2:K199,Analysis!$B$16),"")</f>
        <v>40</v>
      </c>
      <c r="R199" s="7" t="n">
        <f aca="false">IFERROR(DATEDIF(M199,B199,"m"),"")</f>
        <v>15</v>
      </c>
    </row>
    <row r="200" customFormat="false" ht="15" hidden="false" customHeight="false" outlineLevel="0" collapsed="false">
      <c r="A200" s="7" t="s">
        <v>393</v>
      </c>
      <c r="B200" s="9" t="n">
        <v>45686</v>
      </c>
      <c r="C200" s="7" t="s">
        <v>300</v>
      </c>
      <c r="D200" s="7" t="s">
        <v>301</v>
      </c>
      <c r="E200" s="7" t="s">
        <v>109</v>
      </c>
      <c r="F200" s="7" t="s">
        <v>110</v>
      </c>
      <c r="G200" s="7" t="s">
        <v>67</v>
      </c>
      <c r="H200" s="7" t="n">
        <v>4</v>
      </c>
      <c r="I200" s="10" t="n">
        <v>899.99</v>
      </c>
      <c r="J200" s="7" t="s">
        <v>82</v>
      </c>
      <c r="K200" s="7" t="s">
        <v>69</v>
      </c>
      <c r="L200" s="7" t="s">
        <v>70</v>
      </c>
      <c r="M200" s="9" t="n">
        <v>44734</v>
      </c>
      <c r="N200" s="10" t="n">
        <v>3599.96</v>
      </c>
      <c r="O200" s="9" t="n">
        <f aca="false">EOMONTH(B200,0)</f>
        <v>45688</v>
      </c>
      <c r="P200" s="7" t="n">
        <f aca="true">DATEDIF(B200,TODAY(),"m")</f>
        <v>20</v>
      </c>
      <c r="Q200" s="7" t="n">
        <f aca="false">IF(K200=Analysis!$B$16,COUNTIF($K$2:K200,Analysis!$B$16),"")</f>
        <v>41</v>
      </c>
      <c r="R200" s="7" t="n">
        <f aca="false">IFERROR(DATEDIF(M200,B200,"m"),"")</f>
        <v>31</v>
      </c>
    </row>
    <row r="201" customFormat="false" ht="15" hidden="false" customHeight="false" outlineLevel="0" collapsed="false">
      <c r="A201" s="7" t="s">
        <v>394</v>
      </c>
      <c r="B201" s="9" t="n">
        <v>45686</v>
      </c>
      <c r="C201" s="7" t="s">
        <v>134</v>
      </c>
      <c r="D201" s="7" t="s">
        <v>135</v>
      </c>
      <c r="E201" s="7" t="s">
        <v>153</v>
      </c>
      <c r="F201" s="7" t="s">
        <v>154</v>
      </c>
      <c r="G201" s="7" t="s">
        <v>94</v>
      </c>
      <c r="H201" s="7" t="n">
        <v>3</v>
      </c>
      <c r="I201" s="10" t="n">
        <v>299.99</v>
      </c>
      <c r="J201" s="7" t="s">
        <v>105</v>
      </c>
      <c r="K201" s="7" t="s">
        <v>98</v>
      </c>
      <c r="L201" s="7" t="s">
        <v>84</v>
      </c>
      <c r="M201" s="9" t="n">
        <v>44952</v>
      </c>
      <c r="N201" s="10" t="n">
        <v>899.97</v>
      </c>
      <c r="O201" s="9" t="n">
        <f aca="false">EOMONTH(B201,0)</f>
        <v>45688</v>
      </c>
      <c r="P201" s="7" t="n">
        <f aca="true">DATEDIF(B201,TODAY(),"m")</f>
        <v>20</v>
      </c>
      <c r="Q201" s="7" t="str">
        <f aca="false">IF(K201=Analysis!$B$16,COUNTIF($K$2:K201,Analysis!$B$16),"")</f>
        <v/>
      </c>
      <c r="R201" s="7" t="n">
        <f aca="false">IFERROR(DATEDIF(M201,B201,"m"),"")</f>
        <v>24</v>
      </c>
    </row>
    <row r="202" customFormat="false" ht="15" hidden="false" customHeight="false" outlineLevel="0" collapsed="false">
      <c r="A202" s="7" t="s">
        <v>395</v>
      </c>
      <c r="B202" s="9" t="n">
        <v>45686</v>
      </c>
      <c r="C202" s="7" t="s">
        <v>341</v>
      </c>
      <c r="D202" s="7" t="s">
        <v>342</v>
      </c>
      <c r="E202" s="7" t="s">
        <v>128</v>
      </c>
      <c r="F202" s="7" t="s">
        <v>129</v>
      </c>
      <c r="G202" s="7" t="s">
        <v>67</v>
      </c>
      <c r="H202" s="7" t="n">
        <v>2</v>
      </c>
      <c r="I202" s="10" t="n">
        <v>699.99</v>
      </c>
      <c r="J202" s="7" t="s">
        <v>105</v>
      </c>
      <c r="K202" s="7" t="s">
        <v>69</v>
      </c>
      <c r="L202" s="7" t="s">
        <v>75</v>
      </c>
      <c r="M202" s="9" t="n">
        <v>44681</v>
      </c>
      <c r="N202" s="10" t="n">
        <v>1399.98</v>
      </c>
      <c r="O202" s="9" t="n">
        <f aca="false">EOMONTH(B202,0)</f>
        <v>45688</v>
      </c>
      <c r="P202" s="7" t="n">
        <f aca="true">DATEDIF(B202,TODAY(),"m")</f>
        <v>20</v>
      </c>
      <c r="Q202" s="7" t="n">
        <f aca="false">IF(K202=Analysis!$B$16,COUNTIF($K$2:K202,Analysis!$B$16),"")</f>
        <v>42</v>
      </c>
      <c r="R202" s="7" t="n">
        <f aca="false">IFERROR(DATEDIF(M202,B202,"m"),"")</f>
        <v>32</v>
      </c>
    </row>
    <row r="203" customFormat="false" ht="15" hidden="false" customHeight="false" outlineLevel="0" collapsed="false">
      <c r="A203" s="7" t="s">
        <v>396</v>
      </c>
      <c r="B203" s="9" t="n">
        <v>45688</v>
      </c>
      <c r="C203" s="7" t="s">
        <v>116</v>
      </c>
      <c r="D203" s="7" t="s">
        <v>117</v>
      </c>
      <c r="E203" s="7" t="s">
        <v>128</v>
      </c>
      <c r="F203" s="7" t="s">
        <v>129</v>
      </c>
      <c r="G203" s="7" t="s">
        <v>67</v>
      </c>
      <c r="H203" s="7" t="n">
        <v>4</v>
      </c>
      <c r="I203" s="10" t="n">
        <v>699.99</v>
      </c>
      <c r="J203" s="7" t="s">
        <v>105</v>
      </c>
      <c r="K203" s="7" t="s">
        <v>98</v>
      </c>
      <c r="L203" s="7" t="s">
        <v>75</v>
      </c>
      <c r="M203" s="9" t="n">
        <v>44692</v>
      </c>
      <c r="N203" s="10" t="n">
        <v>2799.96</v>
      </c>
      <c r="O203" s="9" t="n">
        <f aca="false">EOMONTH(B203,0)</f>
        <v>45688</v>
      </c>
      <c r="P203" s="7" t="n">
        <f aca="true">DATEDIF(B203,TODAY(),"m")</f>
        <v>20</v>
      </c>
      <c r="Q203" s="7" t="str">
        <f aca="false">IF(K203=Analysis!$B$16,COUNTIF($K$2:K203,Analysis!$B$16),"")</f>
        <v/>
      </c>
      <c r="R203" s="7" t="n">
        <f aca="false">IFERROR(DATEDIF(M203,B203,"m"),"")</f>
        <v>32</v>
      </c>
    </row>
    <row r="204" customFormat="false" ht="15" hidden="false" customHeight="false" outlineLevel="0" collapsed="false">
      <c r="A204" s="7" t="s">
        <v>397</v>
      </c>
      <c r="B204" s="9" t="n">
        <v>45688</v>
      </c>
      <c r="C204" s="7" t="s">
        <v>174</v>
      </c>
      <c r="D204" s="7" t="s">
        <v>175</v>
      </c>
      <c r="E204" s="7" t="s">
        <v>159</v>
      </c>
      <c r="F204" s="7" t="s">
        <v>160</v>
      </c>
      <c r="G204" s="7" t="s">
        <v>67</v>
      </c>
      <c r="H204" s="7" t="n">
        <v>2</v>
      </c>
      <c r="I204" s="10" t="n">
        <v>89.99</v>
      </c>
      <c r="J204" s="7" t="s">
        <v>105</v>
      </c>
      <c r="K204" s="7" t="s">
        <v>83</v>
      </c>
      <c r="L204" s="7" t="s">
        <v>70</v>
      </c>
      <c r="M204" s="9" t="n">
        <v>44777</v>
      </c>
      <c r="N204" s="10" t="n">
        <v>179.98</v>
      </c>
      <c r="O204" s="9" t="n">
        <f aca="false">EOMONTH(B204,0)</f>
        <v>45688</v>
      </c>
      <c r="P204" s="7" t="n">
        <f aca="true">DATEDIF(B204,TODAY(),"m")</f>
        <v>20</v>
      </c>
      <c r="Q204" s="7" t="str">
        <f aca="false">IF(K204=Analysis!$B$16,COUNTIF($K$2:K204,Analysis!$B$16),"")</f>
        <v/>
      </c>
      <c r="R204" s="7" t="n">
        <f aca="false">IFERROR(DATEDIF(M204,B204,"m"),"")</f>
        <v>29</v>
      </c>
    </row>
    <row r="205" customFormat="false" ht="15" hidden="false" customHeight="false" outlineLevel="0" collapsed="false">
      <c r="A205" s="7" t="s">
        <v>398</v>
      </c>
      <c r="B205" s="9" t="n">
        <v>45688</v>
      </c>
      <c r="C205" s="7" t="s">
        <v>90</v>
      </c>
      <c r="D205" s="7" t="s">
        <v>91</v>
      </c>
      <c r="E205" s="7" t="s">
        <v>159</v>
      </c>
      <c r="F205" s="7" t="s">
        <v>160</v>
      </c>
      <c r="G205" s="7" t="s">
        <v>67</v>
      </c>
      <c r="H205" s="7" t="n">
        <v>3</v>
      </c>
      <c r="I205" s="10" t="n">
        <v>89.99</v>
      </c>
      <c r="J205" s="7" t="s">
        <v>105</v>
      </c>
      <c r="K205" s="7" t="s">
        <v>83</v>
      </c>
      <c r="L205" s="7" t="s">
        <v>75</v>
      </c>
      <c r="M205" s="9" t="n">
        <v>45307</v>
      </c>
      <c r="N205" s="10" t="n">
        <v>269.97</v>
      </c>
      <c r="O205" s="9" t="n">
        <f aca="false">EOMONTH(B205,0)</f>
        <v>45688</v>
      </c>
      <c r="P205" s="7" t="n">
        <f aca="true">DATEDIF(B205,TODAY(),"m")</f>
        <v>20</v>
      </c>
      <c r="Q205" s="7" t="str">
        <f aca="false">IF(K205=Analysis!$B$16,COUNTIF($K$2:K205,Analysis!$B$16),"")</f>
        <v/>
      </c>
      <c r="R205" s="7" t="n">
        <f aca="false">IFERROR(DATEDIF(M205,B205,"m"),"")</f>
        <v>12</v>
      </c>
    </row>
    <row r="206" customFormat="false" ht="15" hidden="false" customHeight="false" outlineLevel="0" collapsed="false">
      <c r="A206" s="7" t="s">
        <v>399</v>
      </c>
      <c r="B206" s="9" t="n">
        <v>45692</v>
      </c>
      <c r="C206" s="7" t="s">
        <v>373</v>
      </c>
      <c r="D206" s="7" t="s">
        <v>374</v>
      </c>
      <c r="E206" s="7" t="s">
        <v>79</v>
      </c>
      <c r="F206" s="7" t="s">
        <v>80</v>
      </c>
      <c r="G206" s="7" t="s">
        <v>81</v>
      </c>
      <c r="H206" s="7" t="n">
        <v>1</v>
      </c>
      <c r="I206" s="10" t="n">
        <v>59.99</v>
      </c>
      <c r="J206" s="7" t="s">
        <v>105</v>
      </c>
      <c r="K206" s="7" t="s">
        <v>69</v>
      </c>
      <c r="L206" s="7" t="s">
        <v>84</v>
      </c>
      <c r="M206" s="9" t="n">
        <v>45045</v>
      </c>
      <c r="N206" s="10" t="n">
        <v>59.99</v>
      </c>
      <c r="O206" s="9" t="n">
        <f aca="false">EOMONTH(B206,0)</f>
        <v>45716</v>
      </c>
      <c r="P206" s="7" t="n">
        <f aca="true">DATEDIF(B206,TODAY(),"m")</f>
        <v>20</v>
      </c>
      <c r="Q206" s="7" t="n">
        <f aca="false">IF(K206=Analysis!$B$16,COUNTIF($K$2:K206,Analysis!$B$16),"")</f>
        <v>43</v>
      </c>
      <c r="R206" s="7" t="n">
        <f aca="false">IFERROR(DATEDIF(M206,B206,"m"),"")</f>
        <v>21</v>
      </c>
    </row>
    <row r="207" customFormat="false" ht="15" hidden="false" customHeight="false" outlineLevel="0" collapsed="false">
      <c r="A207" s="7" t="s">
        <v>400</v>
      </c>
      <c r="B207" s="9" t="n">
        <v>45695</v>
      </c>
      <c r="C207" s="7" t="s">
        <v>294</v>
      </c>
      <c r="D207" s="7" t="s">
        <v>295</v>
      </c>
      <c r="E207" s="7" t="s">
        <v>92</v>
      </c>
      <c r="F207" s="7" t="s">
        <v>93</v>
      </c>
      <c r="G207" s="7" t="s">
        <v>94</v>
      </c>
      <c r="H207" s="7" t="n">
        <v>3</v>
      </c>
      <c r="I207" s="10" t="n">
        <v>149.99</v>
      </c>
      <c r="J207" s="7" t="s">
        <v>105</v>
      </c>
      <c r="K207" s="7" t="s">
        <v>88</v>
      </c>
      <c r="L207" s="7" t="s">
        <v>75</v>
      </c>
      <c r="M207" s="9" t="n">
        <v>44564</v>
      </c>
      <c r="N207" s="10" t="n">
        <v>449.97</v>
      </c>
      <c r="O207" s="9" t="n">
        <f aca="false">EOMONTH(B207,0)</f>
        <v>45716</v>
      </c>
      <c r="P207" s="7" t="n">
        <f aca="true">DATEDIF(B207,TODAY(),"m")</f>
        <v>20</v>
      </c>
      <c r="Q207" s="7" t="str">
        <f aca="false">IF(K207=Analysis!$B$16,COUNTIF($K$2:K207,Analysis!$B$16),"")</f>
        <v/>
      </c>
      <c r="R207" s="7" t="n">
        <f aca="false">IFERROR(DATEDIF(M207,B207,"m"),"")</f>
        <v>37</v>
      </c>
    </row>
    <row r="208" customFormat="false" ht="15" hidden="false" customHeight="false" outlineLevel="0" collapsed="false">
      <c r="A208" s="7" t="s">
        <v>401</v>
      </c>
      <c r="B208" s="9" t="n">
        <v>45695</v>
      </c>
      <c r="C208" s="7" t="s">
        <v>141</v>
      </c>
      <c r="D208" s="7" t="s">
        <v>142</v>
      </c>
      <c r="E208" s="7" t="s">
        <v>153</v>
      </c>
      <c r="F208" s="7" t="s">
        <v>154</v>
      </c>
      <c r="G208" s="7" t="s">
        <v>94</v>
      </c>
      <c r="H208" s="7" t="n">
        <v>5</v>
      </c>
      <c r="I208" s="10" t="n">
        <v>299.99</v>
      </c>
      <c r="J208" s="7" t="s">
        <v>74</v>
      </c>
      <c r="K208" s="7" t="s">
        <v>83</v>
      </c>
      <c r="L208" s="7" t="s">
        <v>70</v>
      </c>
      <c r="M208" s="9" t="n">
        <v>44959</v>
      </c>
      <c r="N208" s="10" t="n">
        <v>1499.95</v>
      </c>
      <c r="O208" s="9" t="n">
        <f aca="false">EOMONTH(B208,0)</f>
        <v>45716</v>
      </c>
      <c r="P208" s="7" t="n">
        <f aca="true">DATEDIF(B208,TODAY(),"m")</f>
        <v>20</v>
      </c>
      <c r="Q208" s="7" t="str">
        <f aca="false">IF(K208=Analysis!$B$16,COUNTIF($K$2:K208,Analysis!$B$16),"")</f>
        <v/>
      </c>
      <c r="R208" s="7" t="n">
        <f aca="false">IFERROR(DATEDIF(M208,B208,"m"),"")</f>
        <v>24</v>
      </c>
    </row>
    <row r="209" customFormat="false" ht="15" hidden="false" customHeight="false" outlineLevel="0" collapsed="false">
      <c r="A209" s="7" t="s">
        <v>402</v>
      </c>
      <c r="B209" s="9" t="n">
        <v>45696</v>
      </c>
      <c r="C209" s="7" t="s">
        <v>199</v>
      </c>
      <c r="D209" s="7" t="s">
        <v>200</v>
      </c>
      <c r="E209" s="7" t="s">
        <v>79</v>
      </c>
      <c r="F209" s="7" t="s">
        <v>80</v>
      </c>
      <c r="G209" s="7" t="s">
        <v>81</v>
      </c>
      <c r="H209" s="7" t="n">
        <v>5</v>
      </c>
      <c r="I209" s="10" t="n">
        <v>59.99</v>
      </c>
      <c r="J209" s="7" t="s">
        <v>105</v>
      </c>
      <c r="K209" s="7" t="s">
        <v>69</v>
      </c>
      <c r="L209" s="7" t="s">
        <v>84</v>
      </c>
      <c r="M209" s="9" t="n">
        <v>45177</v>
      </c>
      <c r="N209" s="10" t="n">
        <v>299.95</v>
      </c>
      <c r="O209" s="9" t="n">
        <f aca="false">EOMONTH(B209,0)</f>
        <v>45716</v>
      </c>
      <c r="P209" s="7" t="n">
        <f aca="true">DATEDIF(B209,TODAY(),"m")</f>
        <v>20</v>
      </c>
      <c r="Q209" s="7" t="n">
        <f aca="false">IF(K209=Analysis!$B$16,COUNTIF($K$2:K209,Analysis!$B$16),"")</f>
        <v>44</v>
      </c>
      <c r="R209" s="7" t="n">
        <f aca="false">IFERROR(DATEDIF(M209,B209,"m"),"")</f>
        <v>17</v>
      </c>
    </row>
    <row r="210" customFormat="false" ht="15" hidden="false" customHeight="false" outlineLevel="0" collapsed="false">
      <c r="A210" s="7" t="s">
        <v>403</v>
      </c>
      <c r="B210" s="9" t="n">
        <v>45701</v>
      </c>
      <c r="C210" s="7" t="s">
        <v>156</v>
      </c>
      <c r="D210" s="7" t="s">
        <v>157</v>
      </c>
      <c r="E210" s="7" t="s">
        <v>165</v>
      </c>
      <c r="F210" s="7" t="s">
        <v>166</v>
      </c>
      <c r="G210" s="7" t="s">
        <v>81</v>
      </c>
      <c r="H210" s="7" t="n">
        <v>3</v>
      </c>
      <c r="I210" s="10" t="n">
        <v>79.99</v>
      </c>
      <c r="J210" s="7" t="s">
        <v>68</v>
      </c>
      <c r="K210" s="7" t="s">
        <v>111</v>
      </c>
      <c r="L210" s="7" t="s">
        <v>75</v>
      </c>
      <c r="M210" s="9" t="n">
        <v>44436</v>
      </c>
      <c r="N210" s="10" t="n">
        <v>239.97</v>
      </c>
      <c r="O210" s="9" t="n">
        <f aca="false">EOMONTH(B210,0)</f>
        <v>45716</v>
      </c>
      <c r="P210" s="7" t="n">
        <f aca="true">DATEDIF(B210,TODAY(),"m")</f>
        <v>19</v>
      </c>
      <c r="Q210" s="7" t="str">
        <f aca="false">IF(K210=Analysis!$B$16,COUNTIF($K$2:K210,Analysis!$B$16),"")</f>
        <v/>
      </c>
      <c r="R210" s="7" t="n">
        <f aca="false">IFERROR(DATEDIF(M210,B210,"m"),"")</f>
        <v>41</v>
      </c>
    </row>
    <row r="211" customFormat="false" ht="15" hidden="false" customHeight="false" outlineLevel="0" collapsed="false">
      <c r="A211" s="7" t="s">
        <v>404</v>
      </c>
      <c r="B211" s="9" t="n">
        <v>45704</v>
      </c>
      <c r="C211" s="7" t="s">
        <v>77</v>
      </c>
      <c r="D211" s="7" t="s">
        <v>78</v>
      </c>
      <c r="E211" s="7" t="s">
        <v>171</v>
      </c>
      <c r="F211" s="7" t="s">
        <v>172</v>
      </c>
      <c r="G211" s="7" t="s">
        <v>94</v>
      </c>
      <c r="H211" s="7" t="n">
        <v>3</v>
      </c>
      <c r="I211" s="10" t="n">
        <v>199.99</v>
      </c>
      <c r="J211" s="7" t="s">
        <v>68</v>
      </c>
      <c r="K211" s="7" t="s">
        <v>69</v>
      </c>
      <c r="L211" s="7" t="s">
        <v>70</v>
      </c>
      <c r="M211" s="9" t="n">
        <v>44735</v>
      </c>
      <c r="N211" s="10" t="n">
        <v>599.97</v>
      </c>
      <c r="O211" s="9" t="n">
        <f aca="false">EOMONTH(B211,0)</f>
        <v>45716</v>
      </c>
      <c r="P211" s="7" t="n">
        <f aca="true">DATEDIF(B211,TODAY(),"m")</f>
        <v>19</v>
      </c>
      <c r="Q211" s="7" t="n">
        <f aca="false">IF(K211=Analysis!$B$16,COUNTIF($K$2:K211,Analysis!$B$16),"")</f>
        <v>45</v>
      </c>
      <c r="R211" s="7" t="n">
        <f aca="false">IFERROR(DATEDIF(M211,B211,"m"),"")</f>
        <v>31</v>
      </c>
    </row>
    <row r="212" customFormat="false" ht="15" hidden="false" customHeight="false" outlineLevel="0" collapsed="false">
      <c r="A212" s="7" t="s">
        <v>405</v>
      </c>
      <c r="B212" s="9" t="n">
        <v>45704</v>
      </c>
      <c r="C212" s="7" t="s">
        <v>63</v>
      </c>
      <c r="D212" s="7" t="s">
        <v>64</v>
      </c>
      <c r="E212" s="7" t="s">
        <v>159</v>
      </c>
      <c r="F212" s="7" t="s">
        <v>160</v>
      </c>
      <c r="G212" s="7" t="s">
        <v>67</v>
      </c>
      <c r="H212" s="7" t="n">
        <v>2</v>
      </c>
      <c r="I212" s="10" t="n">
        <v>89.99</v>
      </c>
      <c r="J212" s="7" t="s">
        <v>82</v>
      </c>
      <c r="K212" s="7" t="s">
        <v>69</v>
      </c>
      <c r="L212" s="7" t="s">
        <v>70</v>
      </c>
      <c r="M212" s="9" t="n">
        <v>45257</v>
      </c>
      <c r="N212" s="10" t="n">
        <v>179.98</v>
      </c>
      <c r="O212" s="9" t="n">
        <f aca="false">EOMONTH(B212,0)</f>
        <v>45716</v>
      </c>
      <c r="P212" s="7" t="n">
        <f aca="true">DATEDIF(B212,TODAY(),"m")</f>
        <v>19</v>
      </c>
      <c r="Q212" s="7" t="n">
        <f aca="false">IF(K212=Analysis!$B$16,COUNTIF($K$2:K212,Analysis!$B$16),"")</f>
        <v>46</v>
      </c>
      <c r="R212" s="7" t="n">
        <f aca="false">IFERROR(DATEDIF(M212,B212,"m"),"")</f>
        <v>14</v>
      </c>
    </row>
    <row r="213" customFormat="false" ht="15" hidden="false" customHeight="false" outlineLevel="0" collapsed="false">
      <c r="A213" s="7" t="s">
        <v>406</v>
      </c>
      <c r="B213" s="9" t="n">
        <v>45705</v>
      </c>
      <c r="C213" s="7" t="s">
        <v>307</v>
      </c>
      <c r="D213" s="7" t="s">
        <v>308</v>
      </c>
      <c r="E213" s="7" t="s">
        <v>92</v>
      </c>
      <c r="F213" s="7" t="s">
        <v>93</v>
      </c>
      <c r="G213" s="7" t="s">
        <v>94</v>
      </c>
      <c r="H213" s="7" t="n">
        <v>2</v>
      </c>
      <c r="I213" s="10" t="n">
        <v>149.99</v>
      </c>
      <c r="J213" s="7" t="s">
        <v>68</v>
      </c>
      <c r="K213" s="7" t="s">
        <v>83</v>
      </c>
      <c r="L213" s="7" t="s">
        <v>75</v>
      </c>
      <c r="M213" s="9" t="n">
        <v>44728</v>
      </c>
      <c r="N213" s="10" t="n">
        <v>299.98</v>
      </c>
      <c r="O213" s="9" t="n">
        <f aca="false">EOMONTH(B213,0)</f>
        <v>45716</v>
      </c>
      <c r="P213" s="7" t="n">
        <f aca="true">DATEDIF(B213,TODAY(),"m")</f>
        <v>19</v>
      </c>
      <c r="Q213" s="7" t="str">
        <f aca="false">IF(K213=Analysis!$B$16,COUNTIF($K$2:K213,Analysis!$B$16),"")</f>
        <v/>
      </c>
      <c r="R213" s="7" t="n">
        <f aca="false">IFERROR(DATEDIF(M213,B213,"m"),"")</f>
        <v>32</v>
      </c>
    </row>
    <row r="214" customFormat="false" ht="15" hidden="false" customHeight="false" outlineLevel="0" collapsed="false">
      <c r="A214" s="7" t="s">
        <v>407</v>
      </c>
      <c r="B214" s="9" t="n">
        <v>45707</v>
      </c>
      <c r="C214" s="7" t="s">
        <v>90</v>
      </c>
      <c r="D214" s="7" t="s">
        <v>91</v>
      </c>
      <c r="E214" s="7" t="s">
        <v>92</v>
      </c>
      <c r="F214" s="7" t="s">
        <v>93</v>
      </c>
      <c r="G214" s="7" t="s">
        <v>94</v>
      </c>
      <c r="H214" s="7" t="n">
        <v>3</v>
      </c>
      <c r="I214" s="10" t="n">
        <v>149.99</v>
      </c>
      <c r="J214" s="7" t="s">
        <v>82</v>
      </c>
      <c r="K214" s="7" t="s">
        <v>69</v>
      </c>
      <c r="L214" s="7" t="s">
        <v>84</v>
      </c>
      <c r="M214" s="9" t="n">
        <v>44633</v>
      </c>
      <c r="N214" s="10" t="n">
        <v>449.97</v>
      </c>
      <c r="O214" s="9" t="n">
        <f aca="false">EOMONTH(B214,0)</f>
        <v>45716</v>
      </c>
      <c r="P214" s="7" t="n">
        <f aca="true">DATEDIF(B214,TODAY(),"m")</f>
        <v>19</v>
      </c>
      <c r="Q214" s="7" t="n">
        <f aca="false">IF(K214=Analysis!$B$16,COUNTIF($K$2:K214,Analysis!$B$16),"")</f>
        <v>47</v>
      </c>
      <c r="R214" s="7" t="n">
        <f aca="false">IFERROR(DATEDIF(M214,B214,"m"),"")</f>
        <v>35</v>
      </c>
    </row>
    <row r="215" customFormat="false" ht="15" hidden="false" customHeight="false" outlineLevel="0" collapsed="false">
      <c r="A215" s="7" t="s">
        <v>408</v>
      </c>
      <c r="B215" s="9" t="n">
        <v>45707</v>
      </c>
      <c r="C215" s="7" t="s">
        <v>174</v>
      </c>
      <c r="D215" s="7" t="s">
        <v>175</v>
      </c>
      <c r="E215" s="7" t="s">
        <v>128</v>
      </c>
      <c r="F215" s="7" t="s">
        <v>129</v>
      </c>
      <c r="G215" s="7" t="s">
        <v>67</v>
      </c>
      <c r="H215" s="7" t="n">
        <v>5</v>
      </c>
      <c r="I215" s="10" t="n">
        <v>699.99</v>
      </c>
      <c r="J215" s="7" t="s">
        <v>82</v>
      </c>
      <c r="K215" s="7" t="s">
        <v>83</v>
      </c>
      <c r="L215" s="7" t="s">
        <v>75</v>
      </c>
      <c r="M215" s="9" t="n">
        <v>45352</v>
      </c>
      <c r="N215" s="10" t="n">
        <v>3499.95</v>
      </c>
      <c r="O215" s="9" t="n">
        <f aca="false">EOMONTH(B215,0)</f>
        <v>45716</v>
      </c>
      <c r="P215" s="7" t="n">
        <f aca="true">DATEDIF(B215,TODAY(),"m")</f>
        <v>19</v>
      </c>
      <c r="Q215" s="7" t="str">
        <f aca="false">IF(K215=Analysis!$B$16,COUNTIF($K$2:K215,Analysis!$B$16),"")</f>
        <v/>
      </c>
      <c r="R215" s="7" t="n">
        <f aca="false">IFERROR(DATEDIF(M215,B215,"m"),"")</f>
        <v>11</v>
      </c>
    </row>
    <row r="216" customFormat="false" ht="15" hidden="false" customHeight="false" outlineLevel="0" collapsed="false">
      <c r="A216" s="7" t="s">
        <v>409</v>
      </c>
      <c r="B216" s="9" t="n">
        <v>45708</v>
      </c>
      <c r="C216" s="7" t="s">
        <v>144</v>
      </c>
      <c r="D216" s="7" t="s">
        <v>145</v>
      </c>
      <c r="E216" s="7" t="s">
        <v>109</v>
      </c>
      <c r="F216" s="7" t="s">
        <v>110</v>
      </c>
      <c r="G216" s="7" t="s">
        <v>67</v>
      </c>
      <c r="H216" s="7" t="n">
        <v>3</v>
      </c>
      <c r="I216" s="10" t="n">
        <v>899.99</v>
      </c>
      <c r="J216" s="7" t="s">
        <v>68</v>
      </c>
      <c r="K216" s="7" t="s">
        <v>111</v>
      </c>
      <c r="L216" s="7" t="s">
        <v>84</v>
      </c>
      <c r="M216" s="9" t="n">
        <v>44613</v>
      </c>
      <c r="N216" s="10" t="n">
        <v>2699.97</v>
      </c>
      <c r="O216" s="9" t="n">
        <f aca="false">EOMONTH(B216,0)</f>
        <v>45716</v>
      </c>
      <c r="P216" s="7" t="n">
        <f aca="true">DATEDIF(B216,TODAY(),"m")</f>
        <v>19</v>
      </c>
      <c r="Q216" s="7" t="str">
        <f aca="false">IF(K216=Analysis!$B$16,COUNTIF($K$2:K216,Analysis!$B$16),"")</f>
        <v/>
      </c>
      <c r="R216" s="7" t="n">
        <f aca="false">IFERROR(DATEDIF(M216,B216,"m"),"")</f>
        <v>35</v>
      </c>
    </row>
    <row r="217" customFormat="false" ht="15" hidden="false" customHeight="false" outlineLevel="0" collapsed="false">
      <c r="A217" s="7" t="s">
        <v>410</v>
      </c>
      <c r="B217" s="9" t="n">
        <v>45708</v>
      </c>
      <c r="C217" s="7" t="s">
        <v>240</v>
      </c>
      <c r="D217" s="7" t="s">
        <v>241</v>
      </c>
      <c r="E217" s="7" t="s">
        <v>171</v>
      </c>
      <c r="F217" s="7" t="s">
        <v>172</v>
      </c>
      <c r="G217" s="7" t="s">
        <v>94</v>
      </c>
      <c r="H217" s="7" t="n">
        <v>3</v>
      </c>
      <c r="I217" s="10" t="n">
        <v>199.99</v>
      </c>
      <c r="J217" s="7" t="s">
        <v>68</v>
      </c>
      <c r="K217" s="7" t="s">
        <v>98</v>
      </c>
      <c r="L217" s="7" t="s">
        <v>75</v>
      </c>
      <c r="M217" s="9" t="n">
        <v>44823</v>
      </c>
      <c r="N217" s="10" t="n">
        <v>599.97</v>
      </c>
      <c r="O217" s="9" t="n">
        <f aca="false">EOMONTH(B217,0)</f>
        <v>45716</v>
      </c>
      <c r="P217" s="7" t="n">
        <f aca="true">DATEDIF(B217,TODAY(),"m")</f>
        <v>19</v>
      </c>
      <c r="Q217" s="7" t="str">
        <f aca="false">IF(K217=Analysis!$B$16,COUNTIF($K$2:K217,Analysis!$B$16),"")</f>
        <v/>
      </c>
      <c r="R217" s="7" t="n">
        <f aca="false">IFERROR(DATEDIF(M217,B217,"m"),"")</f>
        <v>29</v>
      </c>
    </row>
    <row r="218" customFormat="false" ht="15" hidden="false" customHeight="false" outlineLevel="0" collapsed="false">
      <c r="A218" s="7" t="s">
        <v>411</v>
      </c>
      <c r="B218" s="9" t="n">
        <v>45710</v>
      </c>
      <c r="C218" s="7" t="s">
        <v>103</v>
      </c>
      <c r="D218" s="7" t="s">
        <v>104</v>
      </c>
      <c r="E218" s="7" t="s">
        <v>153</v>
      </c>
      <c r="F218" s="7" t="s">
        <v>154</v>
      </c>
      <c r="G218" s="7" t="s">
        <v>94</v>
      </c>
      <c r="H218" s="7" t="n">
        <v>5</v>
      </c>
      <c r="I218" s="10" t="n">
        <v>299.99</v>
      </c>
      <c r="J218" s="7" t="s">
        <v>68</v>
      </c>
      <c r="K218" s="7" t="s">
        <v>98</v>
      </c>
      <c r="L218" s="7" t="s">
        <v>84</v>
      </c>
      <c r="M218" s="9" t="n">
        <v>45142</v>
      </c>
      <c r="N218" s="10" t="n">
        <v>1499.95</v>
      </c>
      <c r="O218" s="9" t="n">
        <f aca="false">EOMONTH(B218,0)</f>
        <v>45716</v>
      </c>
      <c r="P218" s="7" t="n">
        <f aca="true">DATEDIF(B218,TODAY(),"m")</f>
        <v>19</v>
      </c>
      <c r="Q218" s="7" t="str">
        <f aca="false">IF(K218=Analysis!$B$16,COUNTIF($K$2:K218,Analysis!$B$16),"")</f>
        <v/>
      </c>
      <c r="R218" s="7" t="n">
        <f aca="false">IFERROR(DATEDIF(M218,B218,"m"),"")</f>
        <v>18</v>
      </c>
    </row>
    <row r="219" customFormat="false" ht="15" hidden="false" customHeight="false" outlineLevel="0" collapsed="false">
      <c r="A219" s="7" t="s">
        <v>412</v>
      </c>
      <c r="B219" s="9" t="n">
        <v>45710</v>
      </c>
      <c r="C219" s="7" t="s">
        <v>199</v>
      </c>
      <c r="D219" s="7" t="s">
        <v>200</v>
      </c>
      <c r="E219" s="7" t="s">
        <v>128</v>
      </c>
      <c r="F219" s="7" t="s">
        <v>129</v>
      </c>
      <c r="G219" s="7" t="s">
        <v>67</v>
      </c>
      <c r="H219" s="7" t="n">
        <v>1</v>
      </c>
      <c r="I219" s="10" t="n">
        <v>699.99</v>
      </c>
      <c r="J219" s="7" t="s">
        <v>82</v>
      </c>
      <c r="K219" s="7" t="s">
        <v>98</v>
      </c>
      <c r="L219" s="7" t="s">
        <v>70</v>
      </c>
      <c r="M219" s="9" t="n">
        <v>44934</v>
      </c>
      <c r="N219" s="10" t="n">
        <v>699.99</v>
      </c>
      <c r="O219" s="9" t="n">
        <f aca="false">EOMONTH(B219,0)</f>
        <v>45716</v>
      </c>
      <c r="P219" s="7" t="n">
        <f aca="true">DATEDIF(B219,TODAY(),"m")</f>
        <v>19</v>
      </c>
      <c r="Q219" s="7" t="str">
        <f aca="false">IF(K219=Analysis!$B$16,COUNTIF($K$2:K219,Analysis!$B$16),"")</f>
        <v/>
      </c>
      <c r="R219" s="7" t="n">
        <f aca="false">IFERROR(DATEDIF(M219,B219,"m"),"")</f>
        <v>25</v>
      </c>
    </row>
    <row r="220" customFormat="false" ht="15" hidden="false" customHeight="false" outlineLevel="0" collapsed="false">
      <c r="A220" s="7" t="s">
        <v>413</v>
      </c>
      <c r="B220" s="9" t="n">
        <v>45711</v>
      </c>
      <c r="C220" s="7" t="s">
        <v>294</v>
      </c>
      <c r="D220" s="7" t="s">
        <v>295</v>
      </c>
      <c r="E220" s="7" t="s">
        <v>128</v>
      </c>
      <c r="F220" s="7" t="s">
        <v>129</v>
      </c>
      <c r="G220" s="7" t="s">
        <v>67</v>
      </c>
      <c r="H220" s="7" t="n">
        <v>1</v>
      </c>
      <c r="I220" s="10" t="n">
        <v>699.99</v>
      </c>
      <c r="J220" s="7" t="s">
        <v>68</v>
      </c>
      <c r="K220" s="7" t="s">
        <v>88</v>
      </c>
      <c r="L220" s="7" t="s">
        <v>75</v>
      </c>
      <c r="M220" s="9" t="n">
        <v>44583</v>
      </c>
      <c r="N220" s="10" t="n">
        <v>699.99</v>
      </c>
      <c r="O220" s="9" t="n">
        <f aca="false">EOMONTH(B220,0)</f>
        <v>45716</v>
      </c>
      <c r="P220" s="7" t="n">
        <f aca="true">DATEDIF(B220,TODAY(),"m")</f>
        <v>19</v>
      </c>
      <c r="Q220" s="7" t="str">
        <f aca="false">IF(K220=Analysis!$B$16,COUNTIF($K$2:K220,Analysis!$B$16),"")</f>
        <v/>
      </c>
      <c r="R220" s="7" t="n">
        <f aca="false">IFERROR(DATEDIF(M220,B220,"m"),"")</f>
        <v>37</v>
      </c>
    </row>
    <row r="221" customFormat="false" ht="15" hidden="false" customHeight="false" outlineLevel="0" collapsed="false">
      <c r="A221" s="7" t="s">
        <v>414</v>
      </c>
      <c r="B221" s="9" t="n">
        <v>45711</v>
      </c>
      <c r="C221" s="7" t="s">
        <v>259</v>
      </c>
      <c r="D221" s="7" t="s">
        <v>260</v>
      </c>
      <c r="E221" s="7" t="s">
        <v>159</v>
      </c>
      <c r="F221" s="7" t="s">
        <v>160</v>
      </c>
      <c r="G221" s="7" t="s">
        <v>67</v>
      </c>
      <c r="H221" s="7" t="n">
        <v>5</v>
      </c>
      <c r="I221" s="10" t="n">
        <v>89.99</v>
      </c>
      <c r="J221" s="7" t="s">
        <v>82</v>
      </c>
      <c r="K221" s="7" t="s">
        <v>98</v>
      </c>
      <c r="L221" s="7" t="s">
        <v>75</v>
      </c>
      <c r="M221" s="9" t="n">
        <v>45140</v>
      </c>
      <c r="N221" s="10" t="n">
        <v>449.95</v>
      </c>
      <c r="O221" s="9" t="n">
        <f aca="false">EOMONTH(B221,0)</f>
        <v>45716</v>
      </c>
      <c r="P221" s="7" t="n">
        <f aca="true">DATEDIF(B221,TODAY(),"m")</f>
        <v>19</v>
      </c>
      <c r="Q221" s="7" t="str">
        <f aca="false">IF(K221=Analysis!$B$16,COUNTIF($K$2:K221,Analysis!$B$16),"")</f>
        <v/>
      </c>
      <c r="R221" s="7" t="n">
        <f aca="false">IFERROR(DATEDIF(M221,B221,"m"),"")</f>
        <v>18</v>
      </c>
    </row>
    <row r="222" customFormat="false" ht="15" hidden="false" customHeight="false" outlineLevel="0" collapsed="false">
      <c r="A222" s="7" t="s">
        <v>415</v>
      </c>
      <c r="B222" s="9" t="n">
        <v>45711</v>
      </c>
      <c r="C222" s="7" t="s">
        <v>373</v>
      </c>
      <c r="D222" s="7" t="s">
        <v>374</v>
      </c>
      <c r="E222" s="7" t="s">
        <v>92</v>
      </c>
      <c r="F222" s="7" t="s">
        <v>93</v>
      </c>
      <c r="G222" s="7" t="s">
        <v>94</v>
      </c>
      <c r="H222" s="7" t="n">
        <v>4</v>
      </c>
      <c r="I222" s="10" t="n">
        <v>149.99</v>
      </c>
      <c r="J222" s="7" t="s">
        <v>82</v>
      </c>
      <c r="K222" s="7" t="s">
        <v>88</v>
      </c>
      <c r="L222" s="7" t="s">
        <v>75</v>
      </c>
      <c r="M222" s="9" t="n">
        <v>44412</v>
      </c>
      <c r="N222" s="10" t="n">
        <v>599.96</v>
      </c>
      <c r="O222" s="9" t="n">
        <f aca="false">EOMONTH(B222,0)</f>
        <v>45716</v>
      </c>
      <c r="P222" s="7" t="n">
        <f aca="true">DATEDIF(B222,TODAY(),"m")</f>
        <v>19</v>
      </c>
      <c r="Q222" s="7" t="str">
        <f aca="false">IF(K222=Analysis!$B$16,COUNTIF($K$2:K222,Analysis!$B$16),"")</f>
        <v/>
      </c>
      <c r="R222" s="7" t="n">
        <f aca="false">IFERROR(DATEDIF(M222,B222,"m"),"")</f>
        <v>42</v>
      </c>
    </row>
    <row r="223" customFormat="false" ht="15" hidden="false" customHeight="false" outlineLevel="0" collapsed="false">
      <c r="A223" s="7" t="s">
        <v>416</v>
      </c>
      <c r="B223" s="9" t="n">
        <v>45712</v>
      </c>
      <c r="C223" s="7" t="s">
        <v>186</v>
      </c>
      <c r="D223" s="7" t="s">
        <v>187</v>
      </c>
      <c r="E223" s="7" t="s">
        <v>171</v>
      </c>
      <c r="F223" s="7" t="s">
        <v>172</v>
      </c>
      <c r="G223" s="7" t="s">
        <v>94</v>
      </c>
      <c r="H223" s="7" t="n">
        <v>2</v>
      </c>
      <c r="I223" s="10" t="n">
        <v>199.99</v>
      </c>
      <c r="J223" s="7" t="s">
        <v>68</v>
      </c>
      <c r="K223" s="7" t="s">
        <v>69</v>
      </c>
      <c r="L223" s="7" t="s">
        <v>75</v>
      </c>
      <c r="M223" s="9" t="n">
        <v>44573</v>
      </c>
      <c r="N223" s="10" t="n">
        <v>399.98</v>
      </c>
      <c r="O223" s="9" t="n">
        <f aca="false">EOMONTH(B223,0)</f>
        <v>45716</v>
      </c>
      <c r="P223" s="7" t="n">
        <f aca="true">DATEDIF(B223,TODAY(),"m")</f>
        <v>19</v>
      </c>
      <c r="Q223" s="7" t="n">
        <f aca="false">IF(K223=Analysis!$B$16,COUNTIF($K$2:K223,Analysis!$B$16),"")</f>
        <v>48</v>
      </c>
      <c r="R223" s="7" t="n">
        <f aca="false">IFERROR(DATEDIF(M223,B223,"m"),"")</f>
        <v>37</v>
      </c>
    </row>
    <row r="224" customFormat="false" ht="15" hidden="false" customHeight="false" outlineLevel="0" collapsed="false">
      <c r="A224" s="7" t="s">
        <v>417</v>
      </c>
      <c r="B224" s="9" t="n">
        <v>45715</v>
      </c>
      <c r="C224" s="7" t="s">
        <v>141</v>
      </c>
      <c r="D224" s="7" t="s">
        <v>142</v>
      </c>
      <c r="E224" s="7" t="s">
        <v>153</v>
      </c>
      <c r="F224" s="7" t="s">
        <v>154</v>
      </c>
      <c r="G224" s="7" t="s">
        <v>94</v>
      </c>
      <c r="H224" s="7" t="n">
        <v>2</v>
      </c>
      <c r="I224" s="10" t="n">
        <v>299.99</v>
      </c>
      <c r="J224" s="7" t="s">
        <v>82</v>
      </c>
      <c r="K224" s="7" t="s">
        <v>83</v>
      </c>
      <c r="L224" s="7" t="s">
        <v>70</v>
      </c>
      <c r="M224" s="9" t="n">
        <v>44576</v>
      </c>
      <c r="N224" s="10" t="n">
        <v>599.98</v>
      </c>
      <c r="O224" s="9" t="n">
        <f aca="false">EOMONTH(B224,0)</f>
        <v>45716</v>
      </c>
      <c r="P224" s="7" t="n">
        <f aca="true">DATEDIF(B224,TODAY(),"m")</f>
        <v>19</v>
      </c>
      <c r="Q224" s="7" t="str">
        <f aca="false">IF(K224=Analysis!$B$16,COUNTIF($K$2:K224,Analysis!$B$16),"")</f>
        <v/>
      </c>
      <c r="R224" s="7" t="n">
        <f aca="false">IFERROR(DATEDIF(M224,B224,"m"),"")</f>
        <v>37</v>
      </c>
    </row>
    <row r="225" customFormat="false" ht="15" hidden="false" customHeight="false" outlineLevel="0" collapsed="false">
      <c r="A225" s="7" t="s">
        <v>418</v>
      </c>
      <c r="B225" s="9" t="n">
        <v>45715</v>
      </c>
      <c r="C225" s="7" t="s">
        <v>307</v>
      </c>
      <c r="D225" s="7" t="s">
        <v>308</v>
      </c>
      <c r="E225" s="7" t="s">
        <v>79</v>
      </c>
      <c r="F225" s="7" t="s">
        <v>80</v>
      </c>
      <c r="G225" s="7" t="s">
        <v>81</v>
      </c>
      <c r="H225" s="7" t="n">
        <v>4</v>
      </c>
      <c r="I225" s="10" t="n">
        <v>59.99</v>
      </c>
      <c r="J225" s="7" t="s">
        <v>68</v>
      </c>
      <c r="K225" s="7" t="s">
        <v>98</v>
      </c>
      <c r="L225" s="7" t="s">
        <v>84</v>
      </c>
      <c r="M225" s="9" t="n">
        <v>45070</v>
      </c>
      <c r="N225" s="10" t="n">
        <v>239.96</v>
      </c>
      <c r="O225" s="9" t="n">
        <f aca="false">EOMONTH(B225,0)</f>
        <v>45716</v>
      </c>
      <c r="P225" s="7" t="n">
        <f aca="true">DATEDIF(B225,TODAY(),"m")</f>
        <v>19</v>
      </c>
      <c r="Q225" s="7" t="str">
        <f aca="false">IF(K225=Analysis!$B$16,COUNTIF($K$2:K225,Analysis!$B$16),"")</f>
        <v/>
      </c>
      <c r="R225" s="7" t="n">
        <f aca="false">IFERROR(DATEDIF(M225,B225,"m"),"")</f>
        <v>21</v>
      </c>
    </row>
    <row r="226" customFormat="false" ht="15" hidden="false" customHeight="false" outlineLevel="0" collapsed="false">
      <c r="A226" s="7" t="s">
        <v>419</v>
      </c>
      <c r="B226" s="9" t="n">
        <v>45718</v>
      </c>
      <c r="C226" s="7" t="s">
        <v>103</v>
      </c>
      <c r="D226" s="7" t="s">
        <v>104</v>
      </c>
      <c r="E226" s="7" t="s">
        <v>92</v>
      </c>
      <c r="F226" s="7" t="s">
        <v>93</v>
      </c>
      <c r="G226" s="7" t="s">
        <v>94</v>
      </c>
      <c r="H226" s="7" t="n">
        <v>2</v>
      </c>
      <c r="I226" s="10" t="n">
        <v>149.99</v>
      </c>
      <c r="J226" s="7" t="s">
        <v>68</v>
      </c>
      <c r="K226" s="7" t="s">
        <v>69</v>
      </c>
      <c r="L226" s="7" t="s">
        <v>70</v>
      </c>
      <c r="M226" s="9" t="n">
        <v>45068</v>
      </c>
      <c r="N226" s="10" t="n">
        <v>299.98</v>
      </c>
      <c r="O226" s="9" t="n">
        <f aca="false">EOMONTH(B226,0)</f>
        <v>45747</v>
      </c>
      <c r="P226" s="7" t="n">
        <f aca="true">DATEDIF(B226,TODAY(),"m")</f>
        <v>19</v>
      </c>
      <c r="Q226" s="7" t="n">
        <f aca="false">IF(K226=Analysis!$B$16,COUNTIF($K$2:K226,Analysis!$B$16),"")</f>
        <v>49</v>
      </c>
      <c r="R226" s="7" t="n">
        <f aca="false">IFERROR(DATEDIF(M226,B226,"m"),"")</f>
        <v>21</v>
      </c>
    </row>
    <row r="227" customFormat="false" ht="15" hidden="false" customHeight="false" outlineLevel="0" collapsed="false">
      <c r="A227" s="7" t="s">
        <v>420</v>
      </c>
      <c r="B227" s="9" t="n">
        <v>45720</v>
      </c>
      <c r="C227" s="7" t="s">
        <v>274</v>
      </c>
      <c r="D227" s="7" t="s">
        <v>275</v>
      </c>
      <c r="E227" s="7" t="s">
        <v>128</v>
      </c>
      <c r="F227" s="7" t="s">
        <v>129</v>
      </c>
      <c r="G227" s="7" t="s">
        <v>67</v>
      </c>
      <c r="H227" s="7" t="n">
        <v>5</v>
      </c>
      <c r="I227" s="10" t="n">
        <v>699.99</v>
      </c>
      <c r="J227" s="7" t="s">
        <v>105</v>
      </c>
      <c r="K227" s="7" t="s">
        <v>111</v>
      </c>
      <c r="L227" s="7" t="s">
        <v>75</v>
      </c>
      <c r="M227" s="9" t="n">
        <v>45161</v>
      </c>
      <c r="N227" s="10" t="n">
        <v>3499.95</v>
      </c>
      <c r="O227" s="9" t="n">
        <f aca="false">EOMONTH(B227,0)</f>
        <v>45747</v>
      </c>
      <c r="P227" s="7" t="n">
        <f aca="true">DATEDIF(B227,TODAY(),"m")</f>
        <v>19</v>
      </c>
      <c r="Q227" s="7" t="str">
        <f aca="false">IF(K227=Analysis!$B$16,COUNTIF($K$2:K227,Analysis!$B$16),"")</f>
        <v/>
      </c>
      <c r="R227" s="7" t="n">
        <f aca="false">IFERROR(DATEDIF(M227,B227,"m"),"")</f>
        <v>18</v>
      </c>
    </row>
    <row r="228" customFormat="false" ht="15" hidden="false" customHeight="false" outlineLevel="0" collapsed="false">
      <c r="A228" s="7" t="s">
        <v>421</v>
      </c>
      <c r="B228" s="9" t="n">
        <v>45721</v>
      </c>
      <c r="C228" s="7" t="s">
        <v>123</v>
      </c>
      <c r="D228" s="7" t="s">
        <v>124</v>
      </c>
      <c r="E228" s="7" t="s">
        <v>79</v>
      </c>
      <c r="F228" s="7" t="s">
        <v>80</v>
      </c>
      <c r="G228" s="7" t="s">
        <v>81</v>
      </c>
      <c r="H228" s="7" t="n">
        <v>5</v>
      </c>
      <c r="I228" s="10" t="n">
        <v>59.99</v>
      </c>
      <c r="J228" s="7" t="s">
        <v>68</v>
      </c>
      <c r="K228" s="7" t="s">
        <v>98</v>
      </c>
      <c r="L228" s="7" t="s">
        <v>75</v>
      </c>
      <c r="M228" s="9" t="n">
        <v>45291</v>
      </c>
      <c r="N228" s="10" t="n">
        <v>299.95</v>
      </c>
      <c r="O228" s="9" t="n">
        <f aca="false">EOMONTH(B228,0)</f>
        <v>45747</v>
      </c>
      <c r="P228" s="7" t="n">
        <f aca="true">DATEDIF(B228,TODAY(),"m")</f>
        <v>19</v>
      </c>
      <c r="Q228" s="7" t="str">
        <f aca="false">IF(K228=Analysis!$B$16,COUNTIF($K$2:K228,Analysis!$B$16),"")</f>
        <v/>
      </c>
      <c r="R228" s="7" t="n">
        <f aca="false">IFERROR(DATEDIF(M228,B228,"m"),"")</f>
        <v>14</v>
      </c>
    </row>
    <row r="229" customFormat="false" ht="15" hidden="false" customHeight="false" outlineLevel="0" collapsed="false">
      <c r="A229" s="7" t="s">
        <v>422</v>
      </c>
      <c r="B229" s="9" t="n">
        <v>45723</v>
      </c>
      <c r="C229" s="7" t="s">
        <v>168</v>
      </c>
      <c r="D229" s="7" t="s">
        <v>169</v>
      </c>
      <c r="E229" s="7" t="s">
        <v>65</v>
      </c>
      <c r="F229" s="7" t="s">
        <v>66</v>
      </c>
      <c r="G229" s="7" t="s">
        <v>67</v>
      </c>
      <c r="H229" s="7" t="n">
        <v>5</v>
      </c>
      <c r="I229" s="10" t="n">
        <v>249.99</v>
      </c>
      <c r="J229" s="7" t="s">
        <v>68</v>
      </c>
      <c r="K229" s="7" t="s">
        <v>111</v>
      </c>
      <c r="L229" s="7" t="s">
        <v>84</v>
      </c>
      <c r="M229" s="9" t="n">
        <v>44540</v>
      </c>
      <c r="N229" s="10" t="n">
        <v>1249.95</v>
      </c>
      <c r="O229" s="9" t="n">
        <f aca="false">EOMONTH(B229,0)</f>
        <v>45747</v>
      </c>
      <c r="P229" s="7" t="n">
        <f aca="true">DATEDIF(B229,TODAY(),"m")</f>
        <v>19</v>
      </c>
      <c r="Q229" s="7" t="str">
        <f aca="false">IF(K229=Analysis!$B$16,COUNTIF($K$2:K229,Analysis!$B$16),"")</f>
        <v/>
      </c>
      <c r="R229" s="7" t="n">
        <f aca="false">IFERROR(DATEDIF(M229,B229,"m"),"")</f>
        <v>38</v>
      </c>
    </row>
    <row r="230" customFormat="false" ht="15" hidden="false" customHeight="false" outlineLevel="0" collapsed="false">
      <c r="A230" s="7" t="s">
        <v>423</v>
      </c>
      <c r="B230" s="9" t="n">
        <v>45723</v>
      </c>
      <c r="C230" s="7" t="s">
        <v>63</v>
      </c>
      <c r="D230" s="7" t="s">
        <v>64</v>
      </c>
      <c r="E230" s="7" t="s">
        <v>159</v>
      </c>
      <c r="F230" s="7" t="s">
        <v>160</v>
      </c>
      <c r="G230" s="7" t="s">
        <v>67</v>
      </c>
      <c r="H230" s="7" t="n">
        <v>2</v>
      </c>
      <c r="I230" s="10" t="n">
        <v>89.99</v>
      </c>
      <c r="J230" s="7" t="s">
        <v>74</v>
      </c>
      <c r="K230" s="7" t="s">
        <v>98</v>
      </c>
      <c r="L230" s="7" t="s">
        <v>75</v>
      </c>
      <c r="M230" s="9" t="n">
        <v>45295</v>
      </c>
      <c r="N230" s="10" t="n">
        <v>179.98</v>
      </c>
      <c r="O230" s="9" t="n">
        <f aca="false">EOMONTH(B230,0)</f>
        <v>45747</v>
      </c>
      <c r="P230" s="7" t="n">
        <f aca="true">DATEDIF(B230,TODAY(),"m")</f>
        <v>19</v>
      </c>
      <c r="Q230" s="7" t="str">
        <f aca="false">IF(K230=Analysis!$B$16,COUNTIF($K$2:K230,Analysis!$B$16),"")</f>
        <v/>
      </c>
      <c r="R230" s="7" t="n">
        <f aca="false">IFERROR(DATEDIF(M230,B230,"m"),"")</f>
        <v>14</v>
      </c>
    </row>
    <row r="231" customFormat="false" ht="15" hidden="false" customHeight="false" outlineLevel="0" collapsed="false">
      <c r="A231" s="7" t="s">
        <v>424</v>
      </c>
      <c r="B231" s="9" t="n">
        <v>45724</v>
      </c>
      <c r="C231" s="7" t="s">
        <v>192</v>
      </c>
      <c r="D231" s="7" t="s">
        <v>193</v>
      </c>
      <c r="E231" s="7" t="s">
        <v>109</v>
      </c>
      <c r="F231" s="7" t="s">
        <v>110</v>
      </c>
      <c r="G231" s="7" t="s">
        <v>67</v>
      </c>
      <c r="H231" s="7" t="n">
        <v>5</v>
      </c>
      <c r="I231" s="10" t="n">
        <v>899.99</v>
      </c>
      <c r="J231" s="7" t="s">
        <v>82</v>
      </c>
      <c r="K231" s="7" t="s">
        <v>111</v>
      </c>
      <c r="L231" s="7" t="s">
        <v>75</v>
      </c>
      <c r="M231" s="9" t="n">
        <v>45389</v>
      </c>
      <c r="N231" s="10" t="n">
        <v>4499.95</v>
      </c>
      <c r="O231" s="9" t="n">
        <f aca="false">EOMONTH(B231,0)</f>
        <v>45747</v>
      </c>
      <c r="P231" s="7" t="n">
        <f aca="true">DATEDIF(B231,TODAY(),"m")</f>
        <v>19</v>
      </c>
      <c r="Q231" s="7" t="str">
        <f aca="false">IF(K231=Analysis!$B$16,COUNTIF($K$2:K231,Analysis!$B$16),"")</f>
        <v/>
      </c>
      <c r="R231" s="7" t="n">
        <f aca="false">IFERROR(DATEDIF(M231,B231,"m"),"")</f>
        <v>11</v>
      </c>
    </row>
    <row r="232" customFormat="false" ht="15" hidden="false" customHeight="false" outlineLevel="0" collapsed="false">
      <c r="A232" s="7" t="s">
        <v>425</v>
      </c>
      <c r="B232" s="9" t="n">
        <v>45724</v>
      </c>
      <c r="C232" s="7" t="s">
        <v>274</v>
      </c>
      <c r="D232" s="7" t="s">
        <v>275</v>
      </c>
      <c r="E232" s="7" t="s">
        <v>92</v>
      </c>
      <c r="F232" s="7" t="s">
        <v>93</v>
      </c>
      <c r="G232" s="7" t="s">
        <v>94</v>
      </c>
      <c r="H232" s="7" t="n">
        <v>2</v>
      </c>
      <c r="I232" s="10" t="n">
        <v>149.99</v>
      </c>
      <c r="J232" s="7" t="s">
        <v>82</v>
      </c>
      <c r="K232" s="7" t="s">
        <v>69</v>
      </c>
      <c r="L232" s="7" t="s">
        <v>75</v>
      </c>
      <c r="M232" s="9" t="n">
        <v>44632</v>
      </c>
      <c r="N232" s="10" t="n">
        <v>299.98</v>
      </c>
      <c r="O232" s="9" t="n">
        <f aca="false">EOMONTH(B232,0)</f>
        <v>45747</v>
      </c>
      <c r="P232" s="7" t="n">
        <f aca="true">DATEDIF(B232,TODAY(),"m")</f>
        <v>19</v>
      </c>
      <c r="Q232" s="7" t="n">
        <f aca="false">IF(K232=Analysis!$B$16,COUNTIF($K$2:K232,Analysis!$B$16),"")</f>
        <v>50</v>
      </c>
      <c r="R232" s="7" t="n">
        <f aca="false">IFERROR(DATEDIF(M232,B232,"m"),"")</f>
        <v>35</v>
      </c>
    </row>
    <row r="233" customFormat="false" ht="15" hidden="false" customHeight="false" outlineLevel="0" collapsed="false">
      <c r="A233" s="7" t="s">
        <v>426</v>
      </c>
      <c r="B233" s="9" t="n">
        <v>45724</v>
      </c>
      <c r="C233" s="7" t="s">
        <v>103</v>
      </c>
      <c r="D233" s="7" t="s">
        <v>104</v>
      </c>
      <c r="E233" s="7" t="s">
        <v>92</v>
      </c>
      <c r="F233" s="7" t="s">
        <v>93</v>
      </c>
      <c r="G233" s="7" t="s">
        <v>94</v>
      </c>
      <c r="H233" s="7" t="n">
        <v>4</v>
      </c>
      <c r="I233" s="10" t="n">
        <v>149.99</v>
      </c>
      <c r="J233" s="7" t="s">
        <v>68</v>
      </c>
      <c r="K233" s="7" t="s">
        <v>69</v>
      </c>
      <c r="L233" s="7" t="s">
        <v>84</v>
      </c>
      <c r="M233" s="9" t="n">
        <v>45263</v>
      </c>
      <c r="N233" s="10" t="n">
        <v>599.96</v>
      </c>
      <c r="O233" s="9" t="n">
        <f aca="false">EOMONTH(B233,0)</f>
        <v>45747</v>
      </c>
      <c r="P233" s="7" t="n">
        <f aca="true">DATEDIF(B233,TODAY(),"m")</f>
        <v>19</v>
      </c>
      <c r="Q233" s="7" t="n">
        <f aca="false">IF(K233=Analysis!$B$16,COUNTIF($K$2:K233,Analysis!$B$16),"")</f>
        <v>51</v>
      </c>
      <c r="R233" s="7" t="n">
        <f aca="false">IFERROR(DATEDIF(M233,B233,"m"),"")</f>
        <v>15</v>
      </c>
    </row>
    <row r="234" customFormat="false" ht="15" hidden="false" customHeight="false" outlineLevel="0" collapsed="false">
      <c r="A234" s="7" t="s">
        <v>427</v>
      </c>
      <c r="B234" s="9" t="n">
        <v>45726</v>
      </c>
      <c r="C234" s="7" t="s">
        <v>192</v>
      </c>
      <c r="D234" s="7" t="s">
        <v>193</v>
      </c>
      <c r="E234" s="7" t="s">
        <v>65</v>
      </c>
      <c r="F234" s="7" t="s">
        <v>66</v>
      </c>
      <c r="G234" s="7" t="s">
        <v>67</v>
      </c>
      <c r="H234" s="7" t="n">
        <v>1</v>
      </c>
      <c r="I234" s="10" t="n">
        <v>249.99</v>
      </c>
      <c r="J234" s="7" t="s">
        <v>68</v>
      </c>
      <c r="K234" s="7" t="s">
        <v>88</v>
      </c>
      <c r="L234" s="7" t="s">
        <v>84</v>
      </c>
      <c r="M234" s="9" t="n">
        <v>45117</v>
      </c>
      <c r="N234" s="10" t="n">
        <v>249.99</v>
      </c>
      <c r="O234" s="9" t="n">
        <f aca="false">EOMONTH(B234,0)</f>
        <v>45747</v>
      </c>
      <c r="P234" s="7" t="n">
        <f aca="true">DATEDIF(B234,TODAY(),"m")</f>
        <v>19</v>
      </c>
      <c r="Q234" s="7" t="str">
        <f aca="false">IF(K234=Analysis!$B$16,COUNTIF($K$2:K234,Analysis!$B$16),"")</f>
        <v/>
      </c>
      <c r="R234" s="7" t="n">
        <f aca="false">IFERROR(DATEDIF(M234,B234,"m"),"")</f>
        <v>20</v>
      </c>
    </row>
    <row r="235" customFormat="false" ht="15" hidden="false" customHeight="false" outlineLevel="0" collapsed="false">
      <c r="A235" s="7" t="s">
        <v>428</v>
      </c>
      <c r="B235" s="9" t="n">
        <v>45734</v>
      </c>
      <c r="C235" s="7" t="s">
        <v>240</v>
      </c>
      <c r="D235" s="7" t="s">
        <v>241</v>
      </c>
      <c r="E235" s="7" t="s">
        <v>79</v>
      </c>
      <c r="F235" s="7" t="s">
        <v>80</v>
      </c>
      <c r="G235" s="7" t="s">
        <v>81</v>
      </c>
      <c r="H235" s="7" t="n">
        <v>2</v>
      </c>
      <c r="I235" s="10" t="n">
        <v>59.99</v>
      </c>
      <c r="J235" s="7" t="s">
        <v>74</v>
      </c>
      <c r="K235" s="7" t="s">
        <v>98</v>
      </c>
      <c r="L235" s="7" t="s">
        <v>70</v>
      </c>
      <c r="M235" s="9" t="n">
        <v>45193</v>
      </c>
      <c r="N235" s="10" t="n">
        <v>119.98</v>
      </c>
      <c r="O235" s="9" t="n">
        <f aca="false">EOMONTH(B235,0)</f>
        <v>45747</v>
      </c>
      <c r="P235" s="7" t="n">
        <f aca="true">DATEDIF(B235,TODAY(),"m")</f>
        <v>18</v>
      </c>
      <c r="Q235" s="7" t="str">
        <f aca="false">IF(K235=Analysis!$B$16,COUNTIF($K$2:K235,Analysis!$B$16),"")</f>
        <v/>
      </c>
      <c r="R235" s="7" t="n">
        <f aca="false">IFERROR(DATEDIF(M235,B235,"m"),"")</f>
        <v>17</v>
      </c>
    </row>
    <row r="236" customFormat="false" ht="15" hidden="false" customHeight="false" outlineLevel="0" collapsed="false">
      <c r="A236" s="7" t="s">
        <v>429</v>
      </c>
      <c r="B236" s="9" t="n">
        <v>45737</v>
      </c>
      <c r="C236" s="7" t="s">
        <v>180</v>
      </c>
      <c r="D236" s="7" t="s">
        <v>181</v>
      </c>
      <c r="E236" s="7" t="s">
        <v>92</v>
      </c>
      <c r="F236" s="7" t="s">
        <v>93</v>
      </c>
      <c r="G236" s="7" t="s">
        <v>94</v>
      </c>
      <c r="H236" s="7" t="n">
        <v>2</v>
      </c>
      <c r="I236" s="10" t="n">
        <v>149.99</v>
      </c>
      <c r="J236" s="7" t="s">
        <v>68</v>
      </c>
      <c r="K236" s="7" t="s">
        <v>98</v>
      </c>
      <c r="L236" s="7" t="s">
        <v>75</v>
      </c>
      <c r="M236" s="9" t="n">
        <v>45233</v>
      </c>
      <c r="N236" s="10" t="n">
        <v>299.98</v>
      </c>
      <c r="O236" s="9" t="n">
        <f aca="false">EOMONTH(B236,0)</f>
        <v>45747</v>
      </c>
      <c r="P236" s="7" t="n">
        <f aca="true">DATEDIF(B236,TODAY(),"m")</f>
        <v>18</v>
      </c>
      <c r="Q236" s="7" t="str">
        <f aca="false">IF(K236=Analysis!$B$16,COUNTIF($K$2:K236,Analysis!$B$16),"")</f>
        <v/>
      </c>
      <c r="R236" s="7" t="n">
        <f aca="false">IFERROR(DATEDIF(M236,B236,"m"),"")</f>
        <v>16</v>
      </c>
    </row>
    <row r="237" customFormat="false" ht="15" hidden="false" customHeight="false" outlineLevel="0" collapsed="false">
      <c r="A237" s="7" t="s">
        <v>430</v>
      </c>
      <c r="B237" s="9" t="n">
        <v>45737</v>
      </c>
      <c r="C237" s="7" t="s">
        <v>96</v>
      </c>
      <c r="D237" s="7" t="s">
        <v>97</v>
      </c>
      <c r="E237" s="7" t="s">
        <v>109</v>
      </c>
      <c r="F237" s="7" t="s">
        <v>110</v>
      </c>
      <c r="G237" s="7" t="s">
        <v>67</v>
      </c>
      <c r="H237" s="7" t="n">
        <v>3</v>
      </c>
      <c r="I237" s="10" t="n">
        <v>899.99</v>
      </c>
      <c r="J237" s="7" t="s">
        <v>82</v>
      </c>
      <c r="K237" s="7" t="s">
        <v>88</v>
      </c>
      <c r="L237" s="7" t="s">
        <v>70</v>
      </c>
      <c r="M237" s="9" t="n">
        <v>44975</v>
      </c>
      <c r="N237" s="10" t="n">
        <v>2699.97</v>
      </c>
      <c r="O237" s="9" t="n">
        <f aca="false">EOMONTH(B237,0)</f>
        <v>45747</v>
      </c>
      <c r="P237" s="7" t="n">
        <f aca="true">DATEDIF(B237,TODAY(),"m")</f>
        <v>18</v>
      </c>
      <c r="Q237" s="7" t="str">
        <f aca="false">IF(K237=Analysis!$B$16,COUNTIF($K$2:K237,Analysis!$B$16),"")</f>
        <v/>
      </c>
      <c r="R237" s="7" t="n">
        <f aca="false">IFERROR(DATEDIF(M237,B237,"m"),"")</f>
        <v>25</v>
      </c>
    </row>
    <row r="238" customFormat="false" ht="15" hidden="false" customHeight="false" outlineLevel="0" collapsed="false">
      <c r="A238" s="7" t="s">
        <v>431</v>
      </c>
      <c r="B238" s="9" t="n">
        <v>45737</v>
      </c>
      <c r="C238" s="7" t="s">
        <v>199</v>
      </c>
      <c r="D238" s="7" t="s">
        <v>200</v>
      </c>
      <c r="E238" s="7" t="s">
        <v>109</v>
      </c>
      <c r="F238" s="7" t="s">
        <v>110</v>
      </c>
      <c r="G238" s="7" t="s">
        <v>67</v>
      </c>
      <c r="H238" s="7" t="n">
        <v>3</v>
      </c>
      <c r="I238" s="10" t="n">
        <v>899.99</v>
      </c>
      <c r="J238" s="7" t="s">
        <v>105</v>
      </c>
      <c r="K238" s="7" t="s">
        <v>88</v>
      </c>
      <c r="L238" s="7" t="s">
        <v>75</v>
      </c>
      <c r="M238" s="9" t="n">
        <v>44876</v>
      </c>
      <c r="N238" s="10" t="n">
        <v>2699.97</v>
      </c>
      <c r="O238" s="9" t="n">
        <f aca="false">EOMONTH(B238,0)</f>
        <v>45747</v>
      </c>
      <c r="P238" s="7" t="n">
        <f aca="true">DATEDIF(B238,TODAY(),"m")</f>
        <v>18</v>
      </c>
      <c r="Q238" s="7" t="str">
        <f aca="false">IF(K238=Analysis!$B$16,COUNTIF($K$2:K238,Analysis!$B$16),"")</f>
        <v/>
      </c>
      <c r="R238" s="7" t="n">
        <f aca="false">IFERROR(DATEDIF(M238,B238,"m"),"")</f>
        <v>28</v>
      </c>
    </row>
    <row r="239" customFormat="false" ht="15" hidden="false" customHeight="false" outlineLevel="0" collapsed="false">
      <c r="A239" s="7" t="s">
        <v>432</v>
      </c>
      <c r="B239" s="9" t="n">
        <v>45739</v>
      </c>
      <c r="C239" s="7" t="s">
        <v>63</v>
      </c>
      <c r="D239" s="7" t="s">
        <v>64</v>
      </c>
      <c r="E239" s="7" t="s">
        <v>153</v>
      </c>
      <c r="F239" s="7" t="s">
        <v>154</v>
      </c>
      <c r="G239" s="7" t="s">
        <v>94</v>
      </c>
      <c r="H239" s="7" t="n">
        <v>3</v>
      </c>
      <c r="I239" s="10" t="n">
        <v>299.99</v>
      </c>
      <c r="J239" s="7" t="s">
        <v>74</v>
      </c>
      <c r="K239" s="7" t="s">
        <v>98</v>
      </c>
      <c r="L239" s="7" t="s">
        <v>75</v>
      </c>
      <c r="M239" s="9" t="n">
        <v>45234</v>
      </c>
      <c r="N239" s="10" t="n">
        <v>899.97</v>
      </c>
      <c r="O239" s="9" t="n">
        <f aca="false">EOMONTH(B239,0)</f>
        <v>45747</v>
      </c>
      <c r="P239" s="7" t="n">
        <f aca="true">DATEDIF(B239,TODAY(),"m")</f>
        <v>18</v>
      </c>
      <c r="Q239" s="7" t="str">
        <f aca="false">IF(K239=Analysis!$B$16,COUNTIF($K$2:K239,Analysis!$B$16),"")</f>
        <v/>
      </c>
      <c r="R239" s="7" t="n">
        <f aca="false">IFERROR(DATEDIF(M239,B239,"m"),"")</f>
        <v>16</v>
      </c>
    </row>
    <row r="240" customFormat="false" ht="15" hidden="false" customHeight="false" outlineLevel="0" collapsed="false">
      <c r="A240" s="7" t="s">
        <v>433</v>
      </c>
      <c r="B240" s="9" t="n">
        <v>45740</v>
      </c>
      <c r="C240" s="7" t="s">
        <v>434</v>
      </c>
      <c r="D240" s="7" t="s">
        <v>435</v>
      </c>
      <c r="E240" s="7" t="s">
        <v>92</v>
      </c>
      <c r="F240" s="7" t="s">
        <v>93</v>
      </c>
      <c r="G240" s="7" t="s">
        <v>94</v>
      </c>
      <c r="H240" s="7" t="n">
        <v>4</v>
      </c>
      <c r="I240" s="10" t="n">
        <v>149.99</v>
      </c>
      <c r="J240" s="7" t="s">
        <v>82</v>
      </c>
      <c r="K240" s="7" t="s">
        <v>98</v>
      </c>
      <c r="L240" s="7" t="s">
        <v>84</v>
      </c>
      <c r="M240" s="9" t="n">
        <v>44560</v>
      </c>
      <c r="N240" s="10" t="n">
        <v>599.96</v>
      </c>
      <c r="O240" s="9" t="n">
        <f aca="false">EOMONTH(B240,0)</f>
        <v>45747</v>
      </c>
      <c r="P240" s="7" t="n">
        <f aca="true">DATEDIF(B240,TODAY(),"m")</f>
        <v>18</v>
      </c>
      <c r="Q240" s="7" t="str">
        <f aca="false">IF(K240=Analysis!$B$16,COUNTIF($K$2:K240,Analysis!$B$16),"")</f>
        <v/>
      </c>
      <c r="R240" s="7" t="n">
        <f aca="false">IFERROR(DATEDIF(M240,B240,"m"),"")</f>
        <v>38</v>
      </c>
    </row>
    <row r="241" customFormat="false" ht="15" hidden="false" customHeight="false" outlineLevel="0" collapsed="false">
      <c r="A241" s="7" t="s">
        <v>436</v>
      </c>
      <c r="B241" s="9" t="n">
        <v>45743</v>
      </c>
      <c r="C241" s="7" t="s">
        <v>150</v>
      </c>
      <c r="D241" s="7" t="s">
        <v>151</v>
      </c>
      <c r="E241" s="7" t="s">
        <v>165</v>
      </c>
      <c r="F241" s="7" t="s">
        <v>166</v>
      </c>
      <c r="G241" s="7" t="s">
        <v>81</v>
      </c>
      <c r="H241" s="7" t="n">
        <v>4</v>
      </c>
      <c r="I241" s="10" t="n">
        <v>79.99</v>
      </c>
      <c r="J241" s="7" t="s">
        <v>74</v>
      </c>
      <c r="K241" s="7" t="s">
        <v>69</v>
      </c>
      <c r="L241" s="7" t="s">
        <v>70</v>
      </c>
      <c r="M241" s="9" t="n">
        <v>45288</v>
      </c>
      <c r="N241" s="10" t="n">
        <v>319.96</v>
      </c>
      <c r="O241" s="9" t="n">
        <f aca="false">EOMONTH(B241,0)</f>
        <v>45747</v>
      </c>
      <c r="P241" s="7" t="n">
        <f aca="true">DATEDIF(B241,TODAY(),"m")</f>
        <v>18</v>
      </c>
      <c r="Q241" s="7" t="n">
        <f aca="false">IF(K241=Analysis!$B$16,COUNTIF($K$2:K241,Analysis!$B$16),"")</f>
        <v>52</v>
      </c>
      <c r="R241" s="7" t="n">
        <f aca="false">IFERROR(DATEDIF(M241,B241,"m"),"")</f>
        <v>14</v>
      </c>
    </row>
    <row r="242" customFormat="false" ht="15" hidden="false" customHeight="false" outlineLevel="0" collapsed="false">
      <c r="A242" s="7" t="s">
        <v>437</v>
      </c>
      <c r="B242" s="9" t="n">
        <v>45745</v>
      </c>
      <c r="C242" s="7" t="s">
        <v>233</v>
      </c>
      <c r="D242" s="7" t="s">
        <v>234</v>
      </c>
      <c r="E242" s="7" t="s">
        <v>159</v>
      </c>
      <c r="F242" s="7" t="s">
        <v>160</v>
      </c>
      <c r="G242" s="7" t="s">
        <v>67</v>
      </c>
      <c r="H242" s="7" t="n">
        <v>5</v>
      </c>
      <c r="I242" s="10" t="n">
        <v>89.99</v>
      </c>
      <c r="J242" s="7" t="s">
        <v>82</v>
      </c>
      <c r="K242" s="7" t="s">
        <v>83</v>
      </c>
      <c r="L242" s="7" t="s">
        <v>70</v>
      </c>
      <c r="M242" s="9" t="n">
        <v>44704</v>
      </c>
      <c r="N242" s="10" t="n">
        <v>449.95</v>
      </c>
      <c r="O242" s="9" t="n">
        <f aca="false">EOMONTH(B242,0)</f>
        <v>45747</v>
      </c>
      <c r="P242" s="7" t="n">
        <f aca="true">DATEDIF(B242,TODAY(),"m")</f>
        <v>18</v>
      </c>
      <c r="Q242" s="7" t="str">
        <f aca="false">IF(K242=Analysis!$B$16,COUNTIF($K$2:K242,Analysis!$B$16),"")</f>
        <v/>
      </c>
      <c r="R242" s="7" t="n">
        <f aca="false">IFERROR(DATEDIF(M242,B242,"m"),"")</f>
        <v>34</v>
      </c>
    </row>
    <row r="243" customFormat="false" ht="15" hidden="false" customHeight="false" outlineLevel="0" collapsed="false">
      <c r="A243" s="7" t="s">
        <v>438</v>
      </c>
      <c r="B243" s="9" t="n">
        <v>45746</v>
      </c>
      <c r="C243" s="7" t="s">
        <v>141</v>
      </c>
      <c r="D243" s="7" t="s">
        <v>142</v>
      </c>
      <c r="E243" s="7" t="s">
        <v>92</v>
      </c>
      <c r="F243" s="7" t="s">
        <v>93</v>
      </c>
      <c r="G243" s="7" t="s">
        <v>94</v>
      </c>
      <c r="H243" s="7" t="n">
        <v>3</v>
      </c>
      <c r="I243" s="10" t="n">
        <v>149.99</v>
      </c>
      <c r="J243" s="7" t="s">
        <v>82</v>
      </c>
      <c r="K243" s="7" t="s">
        <v>69</v>
      </c>
      <c r="L243" s="7" t="s">
        <v>84</v>
      </c>
      <c r="M243" s="9" t="n">
        <v>45171</v>
      </c>
      <c r="N243" s="10" t="n">
        <v>449.97</v>
      </c>
      <c r="O243" s="9" t="n">
        <f aca="false">EOMONTH(B243,0)</f>
        <v>45747</v>
      </c>
      <c r="P243" s="7" t="n">
        <f aca="true">DATEDIF(B243,TODAY(),"m")</f>
        <v>18</v>
      </c>
      <c r="Q243" s="7" t="n">
        <f aca="false">IF(K243=Analysis!$B$16,COUNTIF($K$2:K243,Analysis!$B$16),"")</f>
        <v>53</v>
      </c>
      <c r="R243" s="7" t="n">
        <f aca="false">IFERROR(DATEDIF(M243,B243,"m"),"")</f>
        <v>18</v>
      </c>
    </row>
    <row r="244" customFormat="false" ht="15" hidden="false" customHeight="false" outlineLevel="0" collapsed="false">
      <c r="A244" s="7" t="s">
        <v>439</v>
      </c>
      <c r="B244" s="9" t="n">
        <v>45746</v>
      </c>
      <c r="C244" s="7" t="s">
        <v>116</v>
      </c>
      <c r="D244" s="7" t="s">
        <v>117</v>
      </c>
      <c r="E244" s="7" t="s">
        <v>159</v>
      </c>
      <c r="F244" s="7" t="s">
        <v>160</v>
      </c>
      <c r="G244" s="7" t="s">
        <v>67</v>
      </c>
      <c r="H244" s="7" t="n">
        <v>2</v>
      </c>
      <c r="I244" s="10" t="n">
        <v>89.99</v>
      </c>
      <c r="J244" s="7" t="s">
        <v>105</v>
      </c>
      <c r="K244" s="7" t="s">
        <v>98</v>
      </c>
      <c r="L244" s="7" t="s">
        <v>75</v>
      </c>
      <c r="M244" s="9" t="n">
        <v>44522</v>
      </c>
      <c r="N244" s="10" t="n">
        <v>179.98</v>
      </c>
      <c r="O244" s="9" t="n">
        <f aca="false">EOMONTH(B244,0)</f>
        <v>45747</v>
      </c>
      <c r="P244" s="7" t="n">
        <f aca="true">DATEDIF(B244,TODAY(),"m")</f>
        <v>18</v>
      </c>
      <c r="Q244" s="7" t="str">
        <f aca="false">IF(K244=Analysis!$B$16,COUNTIF($K$2:K244,Analysis!$B$16),"")</f>
        <v/>
      </c>
      <c r="R244" s="7" t="n">
        <f aca="false">IFERROR(DATEDIF(M244,B244,"m"),"")</f>
        <v>40</v>
      </c>
    </row>
    <row r="245" customFormat="false" ht="15" hidden="false" customHeight="false" outlineLevel="0" collapsed="false">
      <c r="A245" s="7" t="s">
        <v>440</v>
      </c>
      <c r="B245" s="9" t="n">
        <v>45748</v>
      </c>
      <c r="C245" s="7" t="s">
        <v>150</v>
      </c>
      <c r="D245" s="7" t="s">
        <v>151</v>
      </c>
      <c r="E245" s="7" t="s">
        <v>128</v>
      </c>
      <c r="F245" s="7" t="s">
        <v>129</v>
      </c>
      <c r="G245" s="7" t="s">
        <v>67</v>
      </c>
      <c r="H245" s="7" t="n">
        <v>2</v>
      </c>
      <c r="I245" s="10" t="n">
        <v>699.99</v>
      </c>
      <c r="J245" s="7" t="s">
        <v>82</v>
      </c>
      <c r="K245" s="7" t="s">
        <v>88</v>
      </c>
      <c r="L245" s="7" t="s">
        <v>84</v>
      </c>
      <c r="M245" s="9" t="n">
        <v>44618</v>
      </c>
      <c r="N245" s="10" t="n">
        <v>1399.98</v>
      </c>
      <c r="O245" s="9" t="n">
        <f aca="false">EOMONTH(B245,0)</f>
        <v>45777</v>
      </c>
      <c r="P245" s="7" t="n">
        <f aca="true">DATEDIF(B245,TODAY(),"m")</f>
        <v>18</v>
      </c>
      <c r="Q245" s="7" t="str">
        <f aca="false">IF(K245=Analysis!$B$16,COUNTIF($K$2:K245,Analysis!$B$16),"")</f>
        <v/>
      </c>
      <c r="R245" s="7" t="n">
        <f aca="false">IFERROR(DATEDIF(M245,B245,"m"),"")</f>
        <v>37</v>
      </c>
    </row>
    <row r="246" customFormat="false" ht="15" hidden="false" customHeight="false" outlineLevel="0" collapsed="false">
      <c r="A246" s="7" t="s">
        <v>441</v>
      </c>
      <c r="B246" s="9" t="n">
        <v>45749</v>
      </c>
      <c r="C246" s="7" t="s">
        <v>174</v>
      </c>
      <c r="D246" s="7" t="s">
        <v>175</v>
      </c>
      <c r="E246" s="7" t="s">
        <v>109</v>
      </c>
      <c r="F246" s="7" t="s">
        <v>110</v>
      </c>
      <c r="G246" s="7" t="s">
        <v>67</v>
      </c>
      <c r="H246" s="7" t="n">
        <v>3</v>
      </c>
      <c r="I246" s="10" t="n">
        <v>899.99</v>
      </c>
      <c r="J246" s="7" t="s">
        <v>68</v>
      </c>
      <c r="K246" s="7" t="s">
        <v>69</v>
      </c>
      <c r="L246" s="7" t="s">
        <v>84</v>
      </c>
      <c r="M246" s="9" t="n">
        <v>44953</v>
      </c>
      <c r="N246" s="10" t="n">
        <v>2699.97</v>
      </c>
      <c r="O246" s="9" t="n">
        <f aca="false">EOMONTH(B246,0)</f>
        <v>45777</v>
      </c>
      <c r="P246" s="7" t="n">
        <f aca="true">DATEDIF(B246,TODAY(),"m")</f>
        <v>18</v>
      </c>
      <c r="Q246" s="7" t="n">
        <f aca="false">IF(K246=Analysis!$B$16,COUNTIF($K$2:K246,Analysis!$B$16),"")</f>
        <v>54</v>
      </c>
      <c r="R246" s="7" t="n">
        <f aca="false">IFERROR(DATEDIF(M246,B246,"m"),"")</f>
        <v>26</v>
      </c>
    </row>
    <row r="247" customFormat="false" ht="15" hidden="false" customHeight="false" outlineLevel="0" collapsed="false">
      <c r="A247" s="7" t="s">
        <v>442</v>
      </c>
      <c r="B247" s="9" t="n">
        <v>45755</v>
      </c>
      <c r="C247" s="7" t="s">
        <v>141</v>
      </c>
      <c r="D247" s="7" t="s">
        <v>142</v>
      </c>
      <c r="E247" s="7" t="s">
        <v>165</v>
      </c>
      <c r="F247" s="7" t="s">
        <v>166</v>
      </c>
      <c r="G247" s="7" t="s">
        <v>81</v>
      </c>
      <c r="H247" s="7" t="n">
        <v>3</v>
      </c>
      <c r="I247" s="10" t="n">
        <v>79.99</v>
      </c>
      <c r="J247" s="7" t="s">
        <v>74</v>
      </c>
      <c r="K247" s="7" t="s">
        <v>88</v>
      </c>
      <c r="L247" s="7" t="s">
        <v>70</v>
      </c>
      <c r="M247" s="9" t="n">
        <v>44511</v>
      </c>
      <c r="N247" s="10" t="n">
        <v>239.97</v>
      </c>
      <c r="O247" s="9" t="n">
        <f aca="false">EOMONTH(B247,0)</f>
        <v>45777</v>
      </c>
      <c r="P247" s="7" t="n">
        <f aca="true">DATEDIF(B247,TODAY(),"m")</f>
        <v>18</v>
      </c>
      <c r="Q247" s="7" t="str">
        <f aca="false">IF(K247=Analysis!$B$16,COUNTIF($K$2:K247,Analysis!$B$16),"")</f>
        <v/>
      </c>
      <c r="R247" s="7" t="n">
        <f aca="false">IFERROR(DATEDIF(M247,B247,"m"),"")</f>
        <v>40</v>
      </c>
    </row>
    <row r="248" customFormat="false" ht="15" hidden="false" customHeight="false" outlineLevel="0" collapsed="false">
      <c r="A248" s="7" t="s">
        <v>443</v>
      </c>
      <c r="B248" s="9" t="n">
        <v>45756</v>
      </c>
      <c r="C248" s="7" t="s">
        <v>107</v>
      </c>
      <c r="D248" s="7" t="s">
        <v>108</v>
      </c>
      <c r="E248" s="7" t="s">
        <v>159</v>
      </c>
      <c r="F248" s="7" t="s">
        <v>160</v>
      </c>
      <c r="G248" s="7" t="s">
        <v>67</v>
      </c>
      <c r="H248" s="7" t="n">
        <v>1</v>
      </c>
      <c r="I248" s="10" t="n">
        <v>89.99</v>
      </c>
      <c r="J248" s="7" t="s">
        <v>105</v>
      </c>
      <c r="K248" s="7" t="s">
        <v>111</v>
      </c>
      <c r="L248" s="7" t="s">
        <v>70</v>
      </c>
      <c r="M248" s="9" t="n">
        <v>45346</v>
      </c>
      <c r="N248" s="10" t="n">
        <v>89.99</v>
      </c>
      <c r="O248" s="9" t="n">
        <f aca="false">EOMONTH(B248,0)</f>
        <v>45777</v>
      </c>
      <c r="P248" s="7" t="n">
        <f aca="true">DATEDIF(B248,TODAY(),"m")</f>
        <v>18</v>
      </c>
      <c r="Q248" s="7" t="str">
        <f aca="false">IF(K248=Analysis!$B$16,COUNTIF($K$2:K248,Analysis!$B$16),"")</f>
        <v/>
      </c>
      <c r="R248" s="7" t="n">
        <f aca="false">IFERROR(DATEDIF(M248,B248,"m"),"")</f>
        <v>13</v>
      </c>
    </row>
    <row r="249" customFormat="false" ht="15" hidden="false" customHeight="false" outlineLevel="0" collapsed="false">
      <c r="A249" s="7" t="s">
        <v>444</v>
      </c>
      <c r="B249" s="9" t="n">
        <v>45758</v>
      </c>
      <c r="C249" s="7" t="s">
        <v>186</v>
      </c>
      <c r="D249" s="7" t="s">
        <v>187</v>
      </c>
      <c r="E249" s="7" t="s">
        <v>159</v>
      </c>
      <c r="F249" s="7" t="s">
        <v>160</v>
      </c>
      <c r="G249" s="7" t="s">
        <v>67</v>
      </c>
      <c r="H249" s="7" t="n">
        <v>3</v>
      </c>
      <c r="I249" s="10" t="n">
        <v>89.99</v>
      </c>
      <c r="J249" s="7" t="s">
        <v>105</v>
      </c>
      <c r="K249" s="7" t="s">
        <v>88</v>
      </c>
      <c r="L249" s="7" t="s">
        <v>75</v>
      </c>
      <c r="M249" s="9" t="n">
        <v>44878</v>
      </c>
      <c r="N249" s="10" t="n">
        <v>269.97</v>
      </c>
      <c r="O249" s="9" t="n">
        <f aca="false">EOMONTH(B249,0)</f>
        <v>45777</v>
      </c>
      <c r="P249" s="7" t="n">
        <f aca="true">DATEDIF(B249,TODAY(),"m")</f>
        <v>18</v>
      </c>
      <c r="Q249" s="7" t="str">
        <f aca="false">IF(K249=Analysis!$B$16,COUNTIF($K$2:K249,Analysis!$B$16),"")</f>
        <v/>
      </c>
      <c r="R249" s="7" t="n">
        <f aca="false">IFERROR(DATEDIF(M249,B249,"m"),"")</f>
        <v>28</v>
      </c>
    </row>
    <row r="250" customFormat="false" ht="15" hidden="false" customHeight="false" outlineLevel="0" collapsed="false">
      <c r="A250" s="7" t="s">
        <v>445</v>
      </c>
      <c r="B250" s="9" t="n">
        <v>45758</v>
      </c>
      <c r="C250" s="7" t="s">
        <v>274</v>
      </c>
      <c r="D250" s="7" t="s">
        <v>275</v>
      </c>
      <c r="E250" s="7" t="s">
        <v>159</v>
      </c>
      <c r="F250" s="7" t="s">
        <v>160</v>
      </c>
      <c r="G250" s="7" t="s">
        <v>67</v>
      </c>
      <c r="H250" s="7" t="n">
        <v>2</v>
      </c>
      <c r="I250" s="10" t="n">
        <v>89.99</v>
      </c>
      <c r="J250" s="7" t="s">
        <v>105</v>
      </c>
      <c r="K250" s="7" t="s">
        <v>111</v>
      </c>
      <c r="L250" s="7" t="s">
        <v>70</v>
      </c>
      <c r="M250" s="9" t="n">
        <v>45088</v>
      </c>
      <c r="N250" s="10" t="n">
        <v>179.98</v>
      </c>
      <c r="O250" s="9" t="n">
        <f aca="false">EOMONTH(B250,0)</f>
        <v>45777</v>
      </c>
      <c r="P250" s="7" t="n">
        <f aca="true">DATEDIF(B250,TODAY(),"m")</f>
        <v>18</v>
      </c>
      <c r="Q250" s="7" t="str">
        <f aca="false">IF(K250=Analysis!$B$16,COUNTIF($K$2:K250,Analysis!$B$16),"")</f>
        <v/>
      </c>
      <c r="R250" s="7" t="n">
        <f aca="false">IFERROR(DATEDIF(M250,B250,"m"),"")</f>
        <v>22</v>
      </c>
    </row>
    <row r="251" customFormat="false" ht="15" hidden="false" customHeight="false" outlineLevel="0" collapsed="false">
      <c r="A251" s="7" t="s">
        <v>446</v>
      </c>
      <c r="B251" s="9" t="n">
        <v>45758</v>
      </c>
      <c r="C251" s="7" t="s">
        <v>341</v>
      </c>
      <c r="D251" s="7" t="s">
        <v>342</v>
      </c>
      <c r="E251" s="7" t="s">
        <v>128</v>
      </c>
      <c r="F251" s="7" t="s">
        <v>129</v>
      </c>
      <c r="G251" s="7" t="s">
        <v>67</v>
      </c>
      <c r="H251" s="7" t="n">
        <v>3</v>
      </c>
      <c r="I251" s="10" t="n">
        <v>699.99</v>
      </c>
      <c r="J251" s="7" t="s">
        <v>82</v>
      </c>
      <c r="K251" s="7" t="s">
        <v>88</v>
      </c>
      <c r="L251" s="7" t="s">
        <v>70</v>
      </c>
      <c r="M251" s="9" t="n">
        <v>44909</v>
      </c>
      <c r="N251" s="10" t="n">
        <v>2099.97</v>
      </c>
      <c r="O251" s="9" t="n">
        <f aca="false">EOMONTH(B251,0)</f>
        <v>45777</v>
      </c>
      <c r="P251" s="7" t="n">
        <f aca="true">DATEDIF(B251,TODAY(),"m")</f>
        <v>18</v>
      </c>
      <c r="Q251" s="7" t="str">
        <f aca="false">IF(K251=Analysis!$B$16,COUNTIF($K$2:K251,Analysis!$B$16),"")</f>
        <v/>
      </c>
      <c r="R251" s="7" t="n">
        <f aca="false">IFERROR(DATEDIF(M251,B251,"m"),"")</f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7" min="5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1" t="s">
        <v>447</v>
      </c>
    </row>
    <row r="3" customFormat="false" ht="15" hidden="false" customHeight="false" outlineLevel="0" collapsed="false">
      <c r="A3" s="12" t="s">
        <v>448</v>
      </c>
      <c r="B3" s="13"/>
      <c r="C3" s="13"/>
      <c r="D3" s="13"/>
      <c r="E3" s="13"/>
      <c r="F3" s="13"/>
      <c r="G3" s="13"/>
      <c r="H3" s="13"/>
      <c r="I3" s="13"/>
      <c r="J3" s="13"/>
    </row>
    <row r="4" customFormat="false" ht="15" hidden="false" customHeight="false" outlineLevel="0" collapsed="false">
      <c r="A4" s="14" t="s">
        <v>449</v>
      </c>
      <c r="B4" s="15" t="n">
        <f aca="true">TODAY()</f>
        <v>46307</v>
      </c>
    </row>
    <row r="5" customFormat="false" ht="15" hidden="false" customHeight="false" outlineLevel="0" collapsed="false">
      <c r="A5" s="14" t="s">
        <v>450</v>
      </c>
      <c r="B5" s="16" t="n">
        <f aca="true">NOW()</f>
        <v>46307.2748332586</v>
      </c>
    </row>
    <row r="6" customFormat="false" ht="15" hidden="false" customHeight="false" outlineLevel="0" collapsed="false">
      <c r="A6" s="14" t="s">
        <v>451</v>
      </c>
      <c r="B6" s="15" t="n">
        <f aca="false">MIN('Raw Data'!$B$2:$B$251)</f>
        <v>45393</v>
      </c>
    </row>
    <row r="7" customFormat="false" ht="15" hidden="false" customHeight="false" outlineLevel="0" collapsed="false">
      <c r="A7" s="14" t="s">
        <v>452</v>
      </c>
      <c r="B7" s="15" t="n">
        <f aca="false">MAX('Raw Data'!$B$2:$B$251)</f>
        <v>45758</v>
      </c>
    </row>
    <row r="8" customFormat="false" ht="15" hidden="false" customHeight="false" outlineLevel="0" collapsed="false">
      <c r="A8" s="14" t="s">
        <v>453</v>
      </c>
      <c r="B8" s="17" t="n">
        <f aca="true">TODAY()-B7</f>
        <v>549</v>
      </c>
    </row>
    <row r="9" customFormat="false" ht="15" hidden="false" customHeight="false" outlineLevel="0" collapsed="false">
      <c r="A9" s="14" t="s">
        <v>454</v>
      </c>
      <c r="B9" s="18" t="str">
        <f aca="false">DATEDIF(B6,B7,"y")&amp;" yr "&amp;DATEDIF(B6,B7,"ym")&amp;" months "&amp;DATEDIF(B6,B7,"md")&amp;" days"</f>
        <v>1 yr 0 months 0 days</v>
      </c>
    </row>
    <row r="10" customFormat="false" ht="15" hidden="false" customHeight="false" outlineLevel="0" collapsed="false">
      <c r="A10" s="14" t="s">
        <v>455</v>
      </c>
      <c r="B10" s="15" t="n">
        <f aca="false">EOMONTH(B7,0)</f>
        <v>45777</v>
      </c>
    </row>
    <row r="11" customFormat="false" ht="15" hidden="false" customHeight="false" outlineLevel="0" collapsed="false">
      <c r="A11" s="14" t="s">
        <v>456</v>
      </c>
      <c r="B11" s="17" t="n">
        <f aca="false">B10-B7</f>
        <v>19</v>
      </c>
    </row>
    <row r="12" customFormat="false" ht="15" hidden="false" customHeight="false" outlineLevel="0" collapsed="false">
      <c r="A12" s="14" t="s">
        <v>457</v>
      </c>
      <c r="B12" s="15" t="n">
        <f aca="false">EOMONTH(B7,0)+1</f>
        <v>45778</v>
      </c>
    </row>
    <row r="13" customFormat="false" ht="15" hidden="false" customHeight="false" outlineLevel="0" collapsed="false">
      <c r="A13" s="14" t="s">
        <v>458</v>
      </c>
      <c r="B13" s="17" t="n">
        <f aca="true">DATEDIF(B6,TODAY(),"m")</f>
        <v>30</v>
      </c>
    </row>
    <row r="15" customFormat="false" ht="15" hidden="false" customHeight="false" outlineLevel="0" collapsed="false">
      <c r="A15" s="12" t="s">
        <v>459</v>
      </c>
      <c r="B15" s="13"/>
      <c r="C15" s="13"/>
      <c r="D15" s="13"/>
      <c r="E15" s="13"/>
      <c r="F15" s="13"/>
      <c r="G15" s="13"/>
      <c r="H15" s="13"/>
      <c r="I15" s="13"/>
      <c r="J15" s="13"/>
    </row>
    <row r="16" customFormat="false" ht="15" hidden="false" customHeight="false" outlineLevel="0" collapsed="false">
      <c r="A16" s="14" t="s">
        <v>460</v>
      </c>
      <c r="B16" s="19" t="s">
        <v>69</v>
      </c>
    </row>
    <row r="17" customFormat="false" ht="15" hidden="false" customHeight="false" outlineLevel="0" collapsed="false">
      <c r="A17" s="14" t="s">
        <v>461</v>
      </c>
      <c r="B17" s="18" t="s">
        <v>462</v>
      </c>
    </row>
    <row r="18" customFormat="false" ht="15" hidden="false" customHeight="false" outlineLevel="0" collapsed="false">
      <c r="A18" s="14" t="s">
        <v>463</v>
      </c>
      <c r="B18" s="17" t="n">
        <f aca="false">COUNTIF('Raw Data'!$K$2:$K$251,B16)</f>
        <v>54</v>
      </c>
    </row>
    <row r="20" customFormat="false" ht="15" hidden="false" customHeight="false" outlineLevel="0" collapsed="false">
      <c r="A20" s="3" t="s">
        <v>464</v>
      </c>
      <c r="B20" s="3" t="s">
        <v>465</v>
      </c>
      <c r="C20" s="3" t="s">
        <v>45</v>
      </c>
      <c r="D20" s="3" t="s">
        <v>466</v>
      </c>
      <c r="E20" s="3" t="s">
        <v>467</v>
      </c>
      <c r="F20" s="3" t="s">
        <v>468</v>
      </c>
    </row>
    <row r="21" customFormat="false" ht="15" hidden="false" customHeight="false" outlineLevel="0" collapsed="false">
      <c r="A21" s="18" t="n">
        <v>1</v>
      </c>
      <c r="B21" s="18" t="str">
        <f aca="false">IFERROR(INDEX('Raw Data'!$A$2:$A$251,MATCH($A21,'Raw Data'!$Q$2:$Q$251,0)),"")</f>
        <v>TRX0155</v>
      </c>
      <c r="C21" s="15" t="n">
        <f aca="false">IFERROR(INDEX('Raw Data'!$B$2:$B$251,MATCH($A21,'Raw Data'!$Q$2:$Q$251,0)),"")</f>
        <v>45393</v>
      </c>
      <c r="D21" s="18" t="str">
        <f aca="false">IFERROR(INDEX('Raw Data'!$D$2:$D$251,MATCH($A21,'Raw Data'!$Q$2:$Q$251,0)),"")</f>
        <v>Paul Baker</v>
      </c>
      <c r="E21" s="18" t="str">
        <f aca="false">IFERROR(INDEX('Raw Data'!$F$2:$F$251,MATCH($A21,'Raw Data'!$Q$2:$Q$251,0)),"")</f>
        <v>Monitor</v>
      </c>
      <c r="F21" s="20" t="n">
        <f aca="false">IFERROR(INDEX('Raw Data'!$N$2:$N$251,MATCH($A21,'Raw Data'!$Q$2:$Q$251,0)),"")</f>
        <v>749.97</v>
      </c>
    </row>
    <row r="22" customFormat="false" ht="15" hidden="false" customHeight="false" outlineLevel="0" collapsed="false">
      <c r="A22" s="18" t="n">
        <v>2</v>
      </c>
      <c r="B22" s="18" t="str">
        <f aca="false">IFERROR(INDEX('Raw Data'!$A$2:$A$251,MATCH($A22,'Raw Data'!$Q$2:$Q$251,0)),"")</f>
        <v>TRX0023</v>
      </c>
      <c r="C22" s="15" t="n">
        <f aca="false">IFERROR(INDEX('Raw Data'!$B$2:$B$251,MATCH($A22,'Raw Data'!$Q$2:$Q$251,0)),"")</f>
        <v>45396</v>
      </c>
      <c r="D22" s="18" t="str">
        <f aca="false">IFERROR(INDEX('Raw Data'!$D$2:$D$251,MATCH($A22,'Raw Data'!$Q$2:$Q$251,0)),"")</f>
        <v>Joseph Jackson</v>
      </c>
      <c r="E22" s="18" t="str">
        <f aca="false">IFERROR(INDEX('Raw Data'!$F$2:$F$251,MATCH($A22,'Raw Data'!$Q$2:$Q$251,0)),"")</f>
        <v>Monitor</v>
      </c>
      <c r="F22" s="20" t="n">
        <f aca="false">IFERROR(INDEX('Raw Data'!$N$2:$N$251,MATCH($A22,'Raw Data'!$Q$2:$Q$251,0)),"")</f>
        <v>749.97</v>
      </c>
    </row>
    <row r="23" customFormat="false" ht="15" hidden="false" customHeight="false" outlineLevel="0" collapsed="false">
      <c r="A23" s="18" t="n">
        <v>3</v>
      </c>
      <c r="B23" s="18" t="str">
        <f aca="false">IFERROR(INDEX('Raw Data'!$A$2:$A$251,MATCH($A23,'Raw Data'!$Q$2:$Q$251,0)),"")</f>
        <v>TRX0193</v>
      </c>
      <c r="C23" s="15" t="n">
        <f aca="false">IFERROR(INDEX('Raw Data'!$B$2:$B$251,MATCH($A23,'Raw Data'!$Q$2:$Q$251,0)),"")</f>
        <v>45403</v>
      </c>
      <c r="D23" s="18" t="str">
        <f aca="false">IFERROR(INDEX('Raw Data'!$D$2:$D$251,MATCH($A23,'Raw Data'!$Q$2:$Q$251,0)),"")</f>
        <v>Dorothy Nelson</v>
      </c>
      <c r="E23" s="18" t="str">
        <f aca="false">IFERROR(INDEX('Raw Data'!$F$2:$F$251,MATCH($A23,'Raw Data'!$Q$2:$Q$251,0)),"")</f>
        <v>Headphones</v>
      </c>
      <c r="F23" s="20" t="n">
        <f aca="false">IFERROR(INDEX('Raw Data'!$N$2:$N$251,MATCH($A23,'Raw Data'!$Q$2:$Q$251,0)),"")</f>
        <v>749.95</v>
      </c>
    </row>
    <row r="24" customFormat="false" ht="15" hidden="false" customHeight="false" outlineLevel="0" collapsed="false">
      <c r="A24" s="18" t="n">
        <v>4</v>
      </c>
      <c r="B24" s="18" t="str">
        <f aca="false">IFERROR(INDEX('Raw Data'!$A$2:$A$251,MATCH($A24,'Raw Data'!$Q$2:$Q$251,0)),"")</f>
        <v>TRX0063</v>
      </c>
      <c r="C24" s="15" t="n">
        <f aca="false">IFERROR(INDEX('Raw Data'!$B$2:$B$251,MATCH($A24,'Raw Data'!$Q$2:$Q$251,0)),"")</f>
        <v>45425</v>
      </c>
      <c r="D24" s="18" t="str">
        <f aca="false">IFERROR(INDEX('Raw Data'!$D$2:$D$251,MATCH($A24,'Raw Data'!$Q$2:$Q$251,0)),"")</f>
        <v>Helen Roberts</v>
      </c>
      <c r="E24" s="18" t="str">
        <f aca="false">IFERROR(INDEX('Raw Data'!$F$2:$F$251,MATCH($A24,'Raw Data'!$Q$2:$Q$251,0)),"")</f>
        <v>Blender</v>
      </c>
      <c r="F24" s="20" t="n">
        <f aca="false">IFERROR(INDEX('Raw Data'!$N$2:$N$251,MATCH($A24,'Raw Data'!$Q$2:$Q$251,0)),"")</f>
        <v>119.98</v>
      </c>
    </row>
    <row r="25" customFormat="false" ht="15" hidden="false" customHeight="false" outlineLevel="0" collapsed="false">
      <c r="A25" s="18" t="n">
        <v>5</v>
      </c>
      <c r="B25" s="18" t="str">
        <f aca="false">IFERROR(INDEX('Raw Data'!$A$2:$A$251,MATCH($A25,'Raw Data'!$Q$2:$Q$251,0)),"")</f>
        <v>TRX0202</v>
      </c>
      <c r="C25" s="15" t="n">
        <f aca="false">IFERROR(INDEX('Raw Data'!$B$2:$B$251,MATCH($A25,'Raw Data'!$Q$2:$Q$251,0)),"")</f>
        <v>45441</v>
      </c>
      <c r="D25" s="18" t="str">
        <f aca="false">IFERROR(INDEX('Raw Data'!$D$2:$D$251,MATCH($A25,'Raw Data'!$Q$2:$Q$251,0)),"")</f>
        <v>Harry Morgan</v>
      </c>
      <c r="E25" s="18" t="str">
        <f aca="false">IFERROR(INDEX('Raw Data'!$F$2:$F$251,MATCH($A25,'Raw Data'!$Q$2:$Q$251,0)),"")</f>
        <v>Keyboard</v>
      </c>
      <c r="F25" s="20" t="n">
        <f aca="false">IFERROR(INDEX('Raw Data'!$N$2:$N$251,MATCH($A25,'Raw Data'!$Q$2:$Q$251,0)),"")</f>
        <v>269.97</v>
      </c>
    </row>
    <row r="26" customFormat="false" ht="15" hidden="false" customHeight="false" outlineLevel="0" collapsed="false">
      <c r="A26" s="18" t="n">
        <v>6</v>
      </c>
      <c r="B26" s="18" t="str">
        <f aca="false">IFERROR(INDEX('Raw Data'!$A$2:$A$251,MATCH($A26,'Raw Data'!$Q$2:$Q$251,0)),"")</f>
        <v>TRX0088</v>
      </c>
      <c r="C26" s="15" t="n">
        <f aca="false">IFERROR(INDEX('Raw Data'!$B$2:$B$251,MATCH($A26,'Raw Data'!$Q$2:$Q$251,0)),"")</f>
        <v>45456</v>
      </c>
      <c r="D26" s="18" t="str">
        <f aca="false">IFERROR(INDEX('Raw Data'!$D$2:$D$251,MATCH($A26,'Raw Data'!$Q$2:$Q$251,0)),"")</f>
        <v>Lisa Anderson</v>
      </c>
      <c r="E26" s="18" t="str">
        <f aca="false">IFERROR(INDEX('Raw Data'!$F$2:$F$251,MATCH($A26,'Raw Data'!$Q$2:$Q$251,0)),"")</f>
        <v>Keyboard</v>
      </c>
      <c r="F26" s="20" t="n">
        <f aca="false">IFERROR(INDEX('Raw Data'!$N$2:$N$251,MATCH($A26,'Raw Data'!$Q$2:$Q$251,0)),"")</f>
        <v>449.95</v>
      </c>
    </row>
    <row r="27" customFormat="false" ht="15" hidden="false" customHeight="false" outlineLevel="0" collapsed="false">
      <c r="A27" s="18" t="n">
        <v>7</v>
      </c>
      <c r="B27" s="18" t="str">
        <f aca="false">IFERROR(INDEX('Raw Data'!$A$2:$A$251,MATCH($A27,'Raw Data'!$Q$2:$Q$251,0)),"")</f>
        <v>TRX0078</v>
      </c>
      <c r="C27" s="15" t="n">
        <f aca="false">IFERROR(INDEX('Raw Data'!$B$2:$B$251,MATCH($A27,'Raw Data'!$Q$2:$Q$251,0)),"")</f>
        <v>45469</v>
      </c>
      <c r="D27" s="18" t="str">
        <f aca="false">IFERROR(INDEX('Raw Data'!$D$2:$D$251,MATCH($A27,'Raw Data'!$Q$2:$Q$251,0)),"")</f>
        <v>Kevin Scott</v>
      </c>
      <c r="E27" s="18" t="str">
        <f aca="false">IFERROR(INDEX('Raw Data'!$F$2:$F$251,MATCH($A27,'Raw Data'!$Q$2:$Q$251,0)),"")</f>
        <v>Coffee Maker</v>
      </c>
      <c r="F27" s="20" t="n">
        <f aca="false">IFERROR(INDEX('Raw Data'!$N$2:$N$251,MATCH($A27,'Raw Data'!$Q$2:$Q$251,0)),"")</f>
        <v>79.99</v>
      </c>
    </row>
    <row r="28" customFormat="false" ht="15" hidden="false" customHeight="false" outlineLevel="0" collapsed="false">
      <c r="A28" s="18" t="n">
        <v>8</v>
      </c>
      <c r="B28" s="18" t="str">
        <f aca="false">IFERROR(INDEX('Raw Data'!$A$2:$A$251,MATCH($A28,'Raw Data'!$Q$2:$Q$251,0)),"")</f>
        <v>TRX0096</v>
      </c>
      <c r="C28" s="15" t="n">
        <f aca="false">IFERROR(INDEX('Raw Data'!$B$2:$B$251,MATCH($A28,'Raw Data'!$Q$2:$Q$251,0)),"")</f>
        <v>45474</v>
      </c>
      <c r="D28" s="18" t="str">
        <f aca="false">IFERROR(INDEX('Raw Data'!$D$2:$D$251,MATCH($A28,'Raw Data'!$Q$2:$Q$251,0)),"")</f>
        <v>Emma Wilson</v>
      </c>
      <c r="E28" s="18" t="str">
        <f aca="false">IFERROR(INDEX('Raw Data'!$F$2:$F$251,MATCH($A28,'Raw Data'!$Q$2:$Q$251,0)),"")</f>
        <v>Keyboard</v>
      </c>
      <c r="F28" s="20" t="n">
        <f aca="false">IFERROR(INDEX('Raw Data'!$N$2:$N$251,MATCH($A28,'Raw Data'!$Q$2:$Q$251,0)),"")</f>
        <v>179.98</v>
      </c>
    </row>
    <row r="29" customFormat="false" ht="15" hidden="false" customHeight="false" outlineLevel="0" collapsed="false">
      <c r="A29" s="18" t="n">
        <v>9</v>
      </c>
      <c r="B29" s="18" t="str">
        <f aca="false">IFERROR(INDEX('Raw Data'!$A$2:$A$251,MATCH($A29,'Raw Data'!$Q$2:$Q$251,0)),"")</f>
        <v>TRX0070</v>
      </c>
      <c r="C29" s="15" t="n">
        <f aca="false">IFERROR(INDEX('Raw Data'!$B$2:$B$251,MATCH($A29,'Raw Data'!$Q$2:$Q$251,0)),"")</f>
        <v>45476</v>
      </c>
      <c r="D29" s="18" t="str">
        <f aca="false">IFERROR(INDEX('Raw Data'!$D$2:$D$251,MATCH($A29,'Raw Data'!$Q$2:$Q$251,0)),"")</f>
        <v>David Martinez</v>
      </c>
      <c r="E29" s="18" t="str">
        <f aca="false">IFERROR(INDEX('Raw Data'!$F$2:$F$251,MATCH($A29,'Raw Data'!$Q$2:$Q$251,0)),"")</f>
        <v>Coffee Maker</v>
      </c>
      <c r="F29" s="20" t="n">
        <f aca="false">IFERROR(INDEX('Raw Data'!$N$2:$N$251,MATCH($A29,'Raw Data'!$Q$2:$Q$251,0)),"")</f>
        <v>399.95</v>
      </c>
    </row>
    <row r="30" customFormat="false" ht="15" hidden="false" customHeight="false" outlineLevel="0" collapsed="false">
      <c r="A30" s="18" t="n">
        <v>10</v>
      </c>
      <c r="B30" s="18" t="str">
        <f aca="false">IFERROR(INDEX('Raw Data'!$A$2:$A$251,MATCH($A30,'Raw Data'!$Q$2:$Q$251,0)),"")</f>
        <v>TRX0018</v>
      </c>
      <c r="C30" s="15" t="n">
        <f aca="false">IFERROR(INDEX('Raw Data'!$B$2:$B$251,MATCH($A30,'Raw Data'!$Q$2:$Q$251,0)),"")</f>
        <v>45484</v>
      </c>
      <c r="D30" s="18" t="str">
        <f aca="false">IFERROR(INDEX('Raw Data'!$D$2:$D$251,MATCH($A30,'Raw Data'!$Q$2:$Q$251,0)),"")</f>
        <v>Joseph Jackson</v>
      </c>
      <c r="E30" s="18" t="str">
        <f aca="false">IFERROR(INDEX('Raw Data'!$F$2:$F$251,MATCH($A30,'Raw Data'!$Q$2:$Q$251,0)),"")</f>
        <v>Headphones</v>
      </c>
      <c r="F30" s="20" t="n">
        <f aca="false">IFERROR(INDEX('Raw Data'!$N$2:$N$251,MATCH($A30,'Raw Data'!$Q$2:$Q$251,0)),"")</f>
        <v>149.99</v>
      </c>
    </row>
    <row r="31" customFormat="false" ht="15" hidden="false" customHeight="false" outlineLevel="0" collapsed="false">
      <c r="A31" s="2" t="s">
        <v>469</v>
      </c>
    </row>
    <row r="33" customFormat="false" ht="15" hidden="false" customHeight="false" outlineLevel="0" collapsed="false">
      <c r="A33" s="12" t="s">
        <v>470</v>
      </c>
      <c r="B33" s="13"/>
      <c r="C33" s="13"/>
      <c r="D33" s="13"/>
      <c r="E33" s="13"/>
      <c r="F33" s="13"/>
      <c r="G33" s="13"/>
      <c r="H33" s="13"/>
      <c r="I33" s="13"/>
      <c r="J33" s="13"/>
    </row>
    <row r="34" customFormat="false" ht="15" hidden="false" customHeight="false" outlineLevel="0" collapsed="false">
      <c r="A34" s="14" t="s">
        <v>471</v>
      </c>
      <c r="B34" s="19"/>
    </row>
    <row r="35" customFormat="false" ht="15" hidden="false" customHeight="false" outlineLevel="0" collapsed="false">
      <c r="A35" s="14" t="s">
        <v>472</v>
      </c>
      <c r="B35" s="16" t="str">
        <f aca="true">IF(B34="","",IF(B35="",NOW(),B35))</f>
        <v/>
      </c>
    </row>
    <row r="36" customFormat="false" ht="15" hidden="false" customHeight="false" outlineLevel="0" collapsed="false">
      <c r="A36" s="2" t="s">
        <v>473</v>
      </c>
    </row>
    <row r="38" customFormat="false" ht="15" hidden="false" customHeight="false" outlineLevel="0" collapsed="false">
      <c r="A38" s="12" t="s">
        <v>474</v>
      </c>
      <c r="B38" s="13"/>
      <c r="C38" s="13"/>
      <c r="D38" s="13"/>
      <c r="E38" s="13"/>
      <c r="F38" s="13"/>
      <c r="G38" s="13"/>
      <c r="H38" s="13"/>
      <c r="I38" s="13"/>
      <c r="J38" s="13"/>
    </row>
    <row r="39" customFormat="false" ht="15" hidden="false" customHeight="false" outlineLevel="0" collapsed="false">
      <c r="A39" s="14" t="s">
        <v>475</v>
      </c>
      <c r="B39" s="21" t="n">
        <f aca="false">SUM('Raw Data'!$N$2:$N$251)</f>
        <v>229192.47</v>
      </c>
    </row>
    <row r="40" customFormat="false" ht="15" hidden="false" customHeight="false" outlineLevel="0" collapsed="false">
      <c r="A40" s="14" t="s">
        <v>476</v>
      </c>
      <c r="B40" s="22" t="n">
        <v>0.05</v>
      </c>
    </row>
    <row r="41" customFormat="false" ht="15" hidden="false" customHeight="false" outlineLevel="0" collapsed="false">
      <c r="A41" s="14" t="s">
        <v>477</v>
      </c>
      <c r="B41" s="22" t="n">
        <v>0.1</v>
      </c>
    </row>
    <row r="42" customFormat="false" ht="15" hidden="false" customHeight="false" outlineLevel="0" collapsed="false">
      <c r="A42" s="14" t="s">
        <v>478</v>
      </c>
      <c r="B42" s="22" t="n">
        <v>0.02</v>
      </c>
    </row>
    <row r="43" customFormat="false" ht="15" hidden="false" customHeight="false" outlineLevel="0" collapsed="false">
      <c r="A43" s="14" t="s">
        <v>479</v>
      </c>
      <c r="B43" s="23" t="n">
        <f aca="false">B39*(1+B40)*(1+B41)*(1-B42)</f>
        <v>259422.956793</v>
      </c>
    </row>
    <row r="44" customFormat="false" ht="15" hidden="false" customHeight="false" outlineLevel="0" collapsed="false">
      <c r="A44" s="14" t="s">
        <v>480</v>
      </c>
      <c r="B44" s="21" t="n">
        <f aca="false">B43-B39</f>
        <v>30230.486793</v>
      </c>
    </row>
    <row r="45" customFormat="false" ht="15" hidden="false" customHeight="false" outlineLevel="0" collapsed="false">
      <c r="A45" s="14" t="s">
        <v>481</v>
      </c>
      <c r="B45" s="24" t="n">
        <v>290000</v>
      </c>
      <c r="C45" s="2" t="s">
        <v>482</v>
      </c>
    </row>
    <row r="46" customFormat="false" ht="15" hidden="false" customHeight="false" outlineLevel="0" collapsed="false">
      <c r="A46" s="14" t="s">
        <v>483</v>
      </c>
      <c r="B46" s="21" t="n">
        <f aca="false">B43-B45</f>
        <v>-30577.043207</v>
      </c>
    </row>
    <row r="47" customFormat="false" ht="15" hidden="false" customHeight="false" outlineLevel="0" collapsed="false">
      <c r="A47" s="14" t="s">
        <v>484</v>
      </c>
      <c r="B47" s="24" t="n">
        <v>20000</v>
      </c>
      <c r="C47" s="2" t="s">
        <v>485</v>
      </c>
    </row>
    <row r="49" customFormat="false" ht="23.85" hidden="false" customHeight="false" outlineLevel="0" collapsed="false">
      <c r="A49" s="3" t="s">
        <v>486</v>
      </c>
      <c r="B49" s="3" t="s">
        <v>487</v>
      </c>
      <c r="C49" s="3" t="s">
        <v>488</v>
      </c>
      <c r="D49" s="3" t="s">
        <v>478</v>
      </c>
      <c r="E49" s="3" t="s">
        <v>489</v>
      </c>
    </row>
    <row r="50" customFormat="false" ht="15" hidden="false" customHeight="false" outlineLevel="0" collapsed="false">
      <c r="A50" s="14" t="s">
        <v>490</v>
      </c>
      <c r="B50" s="22" t="n">
        <v>0.1</v>
      </c>
      <c r="C50" s="22" t="n">
        <v>0.15</v>
      </c>
      <c r="D50" s="22" t="n">
        <v>0</v>
      </c>
      <c r="E50" s="21" t="n">
        <f aca="false">$B$39*(1+B50)*(1+C50)*(1-D50)</f>
        <v>289928.47455</v>
      </c>
    </row>
    <row r="51" customFormat="false" ht="15" hidden="false" customHeight="false" outlineLevel="0" collapsed="false">
      <c r="A51" s="14" t="s">
        <v>491</v>
      </c>
      <c r="B51" s="22" t="n">
        <v>0.05</v>
      </c>
      <c r="C51" s="22" t="n">
        <v>0.1</v>
      </c>
      <c r="D51" s="22" t="n">
        <v>0.02</v>
      </c>
      <c r="E51" s="21" t="n">
        <f aca="false">$B$39*(1+B51)*(1+C51)*(1-D51)</f>
        <v>259422.956793</v>
      </c>
    </row>
    <row r="52" customFormat="false" ht="15" hidden="false" customHeight="false" outlineLevel="0" collapsed="false">
      <c r="A52" s="14" t="s">
        <v>492</v>
      </c>
      <c r="B52" s="22" t="n">
        <v>0</v>
      </c>
      <c r="C52" s="22" t="n">
        <v>-0.05</v>
      </c>
      <c r="D52" s="22" t="n">
        <v>0.05</v>
      </c>
      <c r="E52" s="21" t="n">
        <f aca="false">$B$39*(1+B52)*(1+C52)*(1-D52)</f>
        <v>206846.204175</v>
      </c>
    </row>
    <row r="54" customFormat="false" ht="15" hidden="false" customHeight="false" outlineLevel="0" collapsed="false">
      <c r="A54" s="12" t="s">
        <v>493</v>
      </c>
      <c r="B54" s="13"/>
      <c r="C54" s="13"/>
      <c r="D54" s="13"/>
      <c r="E54" s="13"/>
      <c r="F54" s="13"/>
      <c r="G54" s="13"/>
      <c r="H54" s="13"/>
      <c r="I54" s="13"/>
      <c r="J54" s="13"/>
    </row>
    <row r="55" customFormat="false" ht="15" hidden="false" customHeight="false" outlineLevel="0" collapsed="false">
      <c r="A55" s="3" t="s">
        <v>494</v>
      </c>
      <c r="B55" s="3" t="s">
        <v>495</v>
      </c>
      <c r="C55" s="3" t="s">
        <v>496</v>
      </c>
      <c r="D55" s="3" t="s">
        <v>497</v>
      </c>
      <c r="E55" s="3" t="s">
        <v>498</v>
      </c>
      <c r="F55" s="3" t="s">
        <v>499</v>
      </c>
      <c r="H55" s="3" t="s">
        <v>500</v>
      </c>
      <c r="I55" s="3" t="s">
        <v>501</v>
      </c>
    </row>
    <row r="56" customFormat="false" ht="15" hidden="false" customHeight="false" outlineLevel="0" collapsed="false">
      <c r="A56" s="18" t="n">
        <v>1</v>
      </c>
      <c r="B56" s="15" t="n">
        <v>45413</v>
      </c>
      <c r="C56" s="18" t="str">
        <f aca="false">TEXT(B56,"mmm-yy")</f>
        <v>May-24</v>
      </c>
      <c r="D56" s="21" t="n">
        <f aca="false">SUMIFS('Raw Data'!$N$2:$N$251,'Raw Data'!$B$2:$B$251,"&gt;="&amp;B56,'Raw Data'!$B$2:$B$251,"&lt;="&amp;EOMONTH(B56,0))</f>
        <v>17039.35</v>
      </c>
      <c r="E56" s="21" t="n">
        <f aca="false">$I$57+$I$56*A56</f>
        <v>16607.6286363636</v>
      </c>
      <c r="F56" s="25"/>
      <c r="H56" s="14" t="s">
        <v>502</v>
      </c>
      <c r="I56" s="21" t="n">
        <f aca="false">SLOPE(D56:D66,A56:A66)</f>
        <v>338.352636363636</v>
      </c>
    </row>
    <row r="57" customFormat="false" ht="15" hidden="false" customHeight="false" outlineLevel="0" collapsed="false">
      <c r="A57" s="18" t="n">
        <v>2</v>
      </c>
      <c r="B57" s="15" t="n">
        <v>45444</v>
      </c>
      <c r="C57" s="18" t="str">
        <f aca="false">TEXT(B57,"mmm-yy")</f>
        <v>Jun-24</v>
      </c>
      <c r="D57" s="21" t="n">
        <f aca="false">SUMIFS('Raw Data'!$N$2:$N$251,'Raw Data'!$B$2:$B$251,"&gt;="&amp;B57,'Raw Data'!$B$2:$B$251,"&lt;="&amp;EOMONTH(B57,0))</f>
        <v>19299.45</v>
      </c>
      <c r="E57" s="21" t="n">
        <f aca="false">$I$57+$I$56*A57</f>
        <v>16945.9812727273</v>
      </c>
      <c r="F57" s="25" t="n">
        <f aca="false">D57/D56-1</f>
        <v>0.132640036151614</v>
      </c>
      <c r="H57" s="14" t="s">
        <v>503</v>
      </c>
      <c r="I57" s="21" t="n">
        <f aca="false">INTERCEPT(D56:D66,A56:A66)</f>
        <v>16269.276</v>
      </c>
    </row>
    <row r="58" customFormat="false" ht="15" hidden="false" customHeight="false" outlineLevel="0" collapsed="false">
      <c r="A58" s="18" t="n">
        <v>3</v>
      </c>
      <c r="B58" s="15" t="n">
        <v>45474</v>
      </c>
      <c r="C58" s="18" t="str">
        <f aca="false">TEXT(B58,"mmm-yy")</f>
        <v>Jul-24</v>
      </c>
      <c r="D58" s="21" t="n">
        <f aca="false">SUMIFS('Raw Data'!$N$2:$N$251,'Raw Data'!$B$2:$B$251,"&gt;="&amp;B58,'Raw Data'!$B$2:$B$251,"&lt;="&amp;EOMONTH(B58,0))</f>
        <v>18479.4</v>
      </c>
      <c r="E58" s="21" t="n">
        <f aca="false">$I$57+$I$56*A58</f>
        <v>17284.3339090909</v>
      </c>
      <c r="F58" s="25" t="n">
        <f aca="false">D58/D57-1</f>
        <v>-0.0424908481847928</v>
      </c>
      <c r="H58" s="14" t="s">
        <v>504</v>
      </c>
      <c r="I58" s="26" t="n">
        <f aca="false">RSQ(D56:D66,A56:A66)</f>
        <v>0.0764473653609152</v>
      </c>
    </row>
    <row r="59" customFormat="false" ht="15" hidden="false" customHeight="false" outlineLevel="0" collapsed="false">
      <c r="A59" s="18" t="n">
        <v>4</v>
      </c>
      <c r="B59" s="15" t="n">
        <v>45505</v>
      </c>
      <c r="C59" s="18" t="str">
        <f aca="false">TEXT(B59,"mmm-yy")</f>
        <v>Aug-24</v>
      </c>
      <c r="D59" s="21" t="n">
        <f aca="false">SUMIFS('Raw Data'!$N$2:$N$251,'Raw Data'!$B$2:$B$251,"&gt;="&amp;B59,'Raw Data'!$B$2:$B$251,"&lt;="&amp;EOMONTH(B59,0))</f>
        <v>15759.43</v>
      </c>
      <c r="E59" s="21" t="n">
        <f aca="false">$I$57+$I$56*A59</f>
        <v>17622.6865454545</v>
      </c>
      <c r="F59" s="25" t="n">
        <f aca="false">D59/D58-1</f>
        <v>-0.147189302682988</v>
      </c>
      <c r="H59" s="14" t="s">
        <v>505</v>
      </c>
      <c r="I59" s="26" t="n">
        <f aca="false">CORREL(A56:A66,D56:D66)</f>
        <v>0.276491166876838</v>
      </c>
    </row>
    <row r="60" customFormat="false" ht="15" hidden="false" customHeight="false" outlineLevel="0" collapsed="false">
      <c r="A60" s="18" t="n">
        <v>5</v>
      </c>
      <c r="B60" s="15" t="n">
        <v>45536</v>
      </c>
      <c r="C60" s="18" t="str">
        <f aca="false">TEXT(B60,"mmm-yy")</f>
        <v>Sep-24</v>
      </c>
      <c r="D60" s="21" t="n">
        <f aca="false">SUMIFS('Raw Data'!$N$2:$N$251,'Raw Data'!$B$2:$B$251,"&gt;="&amp;B60,'Raw Data'!$B$2:$B$251,"&lt;="&amp;EOMONTH(B60,0))</f>
        <v>12989.51</v>
      </c>
      <c r="E60" s="21" t="n">
        <f aca="false">$I$57+$I$56*A60</f>
        <v>17961.0391818182</v>
      </c>
      <c r="F60" s="25" t="n">
        <f aca="false">D60/D59-1</f>
        <v>-0.175762702077423</v>
      </c>
      <c r="H60" s="14" t="s">
        <v>506</v>
      </c>
      <c r="I60" s="21" t="n">
        <f aca="false">FORECAST(12,D56:D66,A56:A66)</f>
        <v>20329.5076363636</v>
      </c>
    </row>
    <row r="61" customFormat="false" ht="15" hidden="false" customHeight="false" outlineLevel="0" collapsed="false">
      <c r="A61" s="18" t="n">
        <v>6</v>
      </c>
      <c r="B61" s="15" t="n">
        <v>45566</v>
      </c>
      <c r="C61" s="18" t="str">
        <f aca="false">TEXT(B61,"mmm-yy")</f>
        <v>Oct-24</v>
      </c>
      <c r="D61" s="21" t="n">
        <f aca="false">SUMIFS('Raw Data'!$N$2:$N$251,'Raw Data'!$B$2:$B$251,"&gt;="&amp;B61,'Raw Data'!$B$2:$B$251,"&lt;="&amp;EOMONTH(B61,0))</f>
        <v>20609.52</v>
      </c>
      <c r="E61" s="21" t="n">
        <f aca="false">$I$57+$I$56*A61</f>
        <v>18299.3918181818</v>
      </c>
      <c r="F61" s="25" t="n">
        <f aca="false">D61/D60-1</f>
        <v>0.58662797903847</v>
      </c>
      <c r="H61" s="27" t="str">
        <f aca="false">IF(I56&gt;0,"Revenue is trending UP by about $"&amp;TEXT(I56,"#,##0")&amp;" every month","Revenue is trending DOWN by about $"&amp;TEXT(-I56,"#,##0")&amp;" every month")</f>
        <v>Revenue is trending UP by about $338 every month</v>
      </c>
      <c r="I61" s="27"/>
      <c r="J61" s="27"/>
    </row>
    <row r="62" customFormat="false" ht="15" hidden="false" customHeight="false" outlineLevel="0" collapsed="false">
      <c r="A62" s="18" t="n">
        <v>7</v>
      </c>
      <c r="B62" s="15" t="n">
        <v>45597</v>
      </c>
      <c r="C62" s="18" t="str">
        <f aca="false">TEXT(B62,"mmm-yy")</f>
        <v>Nov-24</v>
      </c>
      <c r="D62" s="21" t="n">
        <f aca="false">SUMIFS('Raw Data'!$N$2:$N$251,'Raw Data'!$B$2:$B$251,"&gt;="&amp;B62,'Raw Data'!$B$2:$B$251,"&lt;="&amp;EOMONTH(B62,0))</f>
        <v>12309.44</v>
      </c>
      <c r="E62" s="21" t="n">
        <f aca="false">$I$57+$I$56*A62</f>
        <v>18637.7444545455</v>
      </c>
      <c r="F62" s="25" t="n">
        <f aca="false">D62/D61-1</f>
        <v>-0.402730388674748</v>
      </c>
      <c r="H62" s="27"/>
      <c r="I62" s="27"/>
      <c r="J62" s="27"/>
    </row>
    <row r="63" customFormat="false" ht="15" hidden="false" customHeight="false" outlineLevel="0" collapsed="false">
      <c r="A63" s="18" t="n">
        <v>8</v>
      </c>
      <c r="B63" s="15" t="n">
        <v>45627</v>
      </c>
      <c r="C63" s="18" t="str">
        <f aca="false">TEXT(B63,"mmm-yy")</f>
        <v>Dec-24</v>
      </c>
      <c r="D63" s="21" t="n">
        <f aca="false">SUMIFS('Raw Data'!$N$2:$N$251,'Raw Data'!$B$2:$B$251,"&gt;="&amp;B63,'Raw Data'!$B$2:$B$251,"&lt;="&amp;EOMONTH(B63,0))</f>
        <v>23039.3</v>
      </c>
      <c r="E63" s="21" t="n">
        <f aca="false">$I$57+$I$56*A63</f>
        <v>18976.0970909091</v>
      </c>
      <c r="F63" s="25" t="n">
        <f aca="false">D63/D62-1</f>
        <v>0.871677346816752</v>
      </c>
      <c r="H63" s="27"/>
      <c r="I63" s="27"/>
      <c r="J63" s="27"/>
    </row>
    <row r="64" customFormat="false" ht="15" hidden="false" customHeight="false" outlineLevel="0" collapsed="false">
      <c r="A64" s="18" t="n">
        <v>9</v>
      </c>
      <c r="B64" s="15" t="n">
        <v>45658</v>
      </c>
      <c r="C64" s="18" t="str">
        <f aca="false">TEXT(B64,"mmm-yy")</f>
        <v>Jan-25</v>
      </c>
      <c r="D64" s="21" t="n">
        <f aca="false">SUMIFS('Raw Data'!$N$2:$N$251,'Raw Data'!$B$2:$B$251,"&gt;="&amp;B64,'Raw Data'!$B$2:$B$251,"&lt;="&amp;EOMONTH(B64,0))</f>
        <v>25799.15</v>
      </c>
      <c r="E64" s="21" t="n">
        <f aca="false">$I$57+$I$56*A64</f>
        <v>19314.4497272727</v>
      </c>
      <c r="F64" s="25" t="n">
        <f aca="false">D64/D63-1</f>
        <v>0.119788795666535</v>
      </c>
    </row>
    <row r="65" customFormat="false" ht="15" hidden="false" customHeight="false" outlineLevel="0" collapsed="false">
      <c r="A65" s="18" t="n">
        <v>10</v>
      </c>
      <c r="B65" s="15" t="n">
        <v>45689</v>
      </c>
      <c r="C65" s="18" t="str">
        <f aca="false">TEXT(B65,"mmm-yy")</f>
        <v>Feb-25</v>
      </c>
      <c r="D65" s="21" t="n">
        <f aca="false">SUMIFS('Raw Data'!$N$2:$N$251,'Raw Data'!$B$2:$B$251,"&gt;="&amp;B65,'Raw Data'!$B$2:$B$251,"&lt;="&amp;EOMONTH(B65,0))</f>
        <v>16069.38</v>
      </c>
      <c r="E65" s="21" t="n">
        <f aca="false">$I$57+$I$56*A65</f>
        <v>19652.8023636364</v>
      </c>
      <c r="F65" s="25" t="n">
        <f aca="false">D65/D64-1</f>
        <v>-0.377135293217025</v>
      </c>
    </row>
    <row r="66" customFormat="false" ht="15" hidden="false" customHeight="false" outlineLevel="0" collapsed="false">
      <c r="A66" s="18" t="n">
        <v>11</v>
      </c>
      <c r="B66" s="15" t="n">
        <v>45717</v>
      </c>
      <c r="C66" s="18" t="str">
        <f aca="false">TEXT(B66,"mmm-yy")</f>
        <v>Mar-25</v>
      </c>
      <c r="D66" s="21" t="n">
        <f aca="false">SUMIFS('Raw Data'!$N$2:$N$251,'Raw Data'!$B$2:$B$251,"&gt;="&amp;B66,'Raw Data'!$B$2:$B$251,"&lt;="&amp;EOMONTH(B66,0))</f>
        <v>19899.38</v>
      </c>
      <c r="E66" s="21" t="n">
        <f aca="false">$I$57+$I$56*A66</f>
        <v>19991.155</v>
      </c>
      <c r="F66" s="25" t="n">
        <f aca="false">D66/D65-1</f>
        <v>0.238341491706587</v>
      </c>
    </row>
    <row r="68" customFormat="false" ht="15" hidden="false" customHeight="false" outlineLevel="0" collapsed="false">
      <c r="A68" s="14" t="s">
        <v>507</v>
      </c>
      <c r="B68" s="15" t="n">
        <v>45383</v>
      </c>
      <c r="D68" s="21" t="n">
        <f aca="false">SUMIFS('Raw Data'!$N$2:$N$251,'Raw Data'!$B$2:$B$251,"&gt;="&amp;B68,'Raw Data'!$B$2:$B$251,"&lt;="&amp;EOMONTH(B68,0))</f>
        <v>20919.33</v>
      </c>
      <c r="E68" s="2" t="s">
        <v>508</v>
      </c>
    </row>
    <row r="69" customFormat="false" ht="15" hidden="false" customHeight="false" outlineLevel="0" collapsed="false">
      <c r="B69" s="15" t="n">
        <v>45748</v>
      </c>
      <c r="D69" s="21" t="n">
        <f aca="false">SUMIFS('Raw Data'!$N$2:$N$251,'Raw Data'!$B$2:$B$251,"&gt;="&amp;B69,'Raw Data'!$B$2:$B$251,"&lt;="&amp;EOMONTH(B69,0))</f>
        <v>6979.83</v>
      </c>
    </row>
    <row r="79" customFormat="false" ht="15" hidden="false" customHeight="false" outlineLevel="0" collapsed="false">
      <c r="A79" s="12" t="s">
        <v>509</v>
      </c>
      <c r="B79" s="13"/>
      <c r="C79" s="13"/>
      <c r="D79" s="13"/>
      <c r="E79" s="13"/>
      <c r="F79" s="13"/>
      <c r="G79" s="13"/>
      <c r="H79" s="13"/>
      <c r="I79" s="13"/>
      <c r="J79" s="13"/>
    </row>
    <row r="80" customFormat="false" ht="15" hidden="false" customHeight="false" outlineLevel="0" collapsed="false">
      <c r="A80" s="14" t="s">
        <v>510</v>
      </c>
      <c r="B80" s="22" t="n">
        <v>0.2</v>
      </c>
    </row>
    <row r="81" customFormat="false" ht="15" hidden="false" customHeight="false" outlineLevel="0" collapsed="false">
      <c r="A81" s="14" t="s">
        <v>511</v>
      </c>
      <c r="B81" s="21" t="n">
        <f aca="false">PERCENTILE(D85:D134,1-B80)</f>
        <v>6557.8</v>
      </c>
    </row>
    <row r="82" customFormat="false" ht="15" hidden="false" customHeight="false" outlineLevel="0" collapsed="false">
      <c r="A82" s="14" t="s">
        <v>512</v>
      </c>
      <c r="B82" s="21" t="n">
        <f aca="false">MEDIAN(D85:D134)</f>
        <v>4254.875</v>
      </c>
    </row>
    <row r="84" customFormat="false" ht="15" hidden="false" customHeight="false" outlineLevel="0" collapsed="false">
      <c r="A84" s="3" t="s">
        <v>513</v>
      </c>
      <c r="B84" s="3" t="s">
        <v>514</v>
      </c>
      <c r="C84" s="3" t="s">
        <v>515</v>
      </c>
      <c r="D84" s="3" t="s">
        <v>516</v>
      </c>
      <c r="E84" s="3" t="s">
        <v>517</v>
      </c>
      <c r="F84" s="3" t="s">
        <v>518</v>
      </c>
      <c r="G84" s="3" t="s">
        <v>519</v>
      </c>
      <c r="H84" s="3" t="s">
        <v>520</v>
      </c>
      <c r="I84" s="3" t="s">
        <v>521</v>
      </c>
      <c r="J84" s="3" t="s">
        <v>522</v>
      </c>
    </row>
    <row r="85" customFormat="false" ht="15" hidden="false" customHeight="false" outlineLevel="0" collapsed="false">
      <c r="A85" s="18" t="s">
        <v>434</v>
      </c>
      <c r="B85" s="18" t="str">
        <f aca="false">INDEX('Raw Data'!$D$2:$D$251,MATCH(A85,'Raw Data'!$C$2:$C$251,0))</f>
        <v>John Smith</v>
      </c>
      <c r="C85" s="15" t="n">
        <f aca="false">_xlfn.MAXIFS('Raw Data'!$B$2:$B$251,'Raw Data'!$C$2:$C$251,A85)</f>
        <v>45740</v>
      </c>
      <c r="D85" s="21" t="n">
        <f aca="false">SUMIFS('Raw Data'!$N$2:$N$251,'Raw Data'!$C$2:$C$251,A85)</f>
        <v>599.96</v>
      </c>
      <c r="E85" s="17" t="n">
        <f aca="false">COUNTIF('Raw Data'!$C$2:$C$251,A85)</f>
        <v>1</v>
      </c>
      <c r="F85" s="21" t="n">
        <f aca="false">IFERROR(D85/E85,0)</f>
        <v>599.96</v>
      </c>
      <c r="G85" s="17" t="n">
        <f aca="false">RANK(D85,$D$85:$D$134)+COUNTIF($D$85:D85,D85)-1</f>
        <v>47</v>
      </c>
      <c r="H85" s="18" t="str">
        <f aca="false">IF(D85&gt;=$B$81,"High Value",IF(D85&gt;=$B$82,"Medium","Low"))</f>
        <v>Low</v>
      </c>
      <c r="I85" s="18" t="str">
        <f aca="false">UPPER(LEFT(B85,1)&amp;MID(B85,FIND(" ",B85)+1,1))&amp;"-"&amp;RIGHT(A85,3)</f>
        <v>JS-001</v>
      </c>
      <c r="J85" s="18" t="str">
        <f aca="false">IF(E85&gt;1,"Repeat","One-time")</f>
        <v>One-time</v>
      </c>
    </row>
    <row r="86" customFormat="false" ht="15" hidden="false" customHeight="false" outlineLevel="0" collapsed="false">
      <c r="A86" s="18" t="s">
        <v>180</v>
      </c>
      <c r="B86" s="18" t="str">
        <f aca="false">INDEX('Raw Data'!$D$2:$D$251,MATCH(A86,'Raw Data'!$C$2:$C$251,0))</f>
        <v>Emma Wilson</v>
      </c>
      <c r="C86" s="15" t="n">
        <f aca="false">_xlfn.MAXIFS('Raw Data'!$B$2:$B$251,'Raw Data'!$C$2:$C$251,A86)</f>
        <v>45737</v>
      </c>
      <c r="D86" s="21" t="n">
        <f aca="false">SUMIFS('Raw Data'!$N$2:$N$251,'Raw Data'!$C$2:$C$251,A86)</f>
        <v>1229.88</v>
      </c>
      <c r="E86" s="17" t="n">
        <f aca="false">COUNTIF('Raw Data'!$C$2:$C$251,A86)</f>
        <v>5</v>
      </c>
      <c r="F86" s="21" t="n">
        <f aca="false">IFERROR(D86/E86,0)</f>
        <v>245.976</v>
      </c>
      <c r="G86" s="17" t="n">
        <f aca="false">RANK(D86,$D$85:$D$134)+COUNTIF($D$85:D86,D86)-1</f>
        <v>44</v>
      </c>
      <c r="H86" s="18" t="str">
        <f aca="false">IF(D86&gt;=$B$81,"High Value",IF(D86&gt;=$B$82,"Medium","Low"))</f>
        <v>Low</v>
      </c>
      <c r="I86" s="18" t="str">
        <f aca="false">UPPER(LEFT(B86,1)&amp;MID(B86,FIND(" ",B86)+1,1))&amp;"-"&amp;RIGHT(A86,3)</f>
        <v>EW-002</v>
      </c>
      <c r="J86" s="18" t="str">
        <f aca="false">IF(E86&gt;1,"Repeat","One-time")</f>
        <v>Repeat</v>
      </c>
    </row>
    <row r="87" customFormat="false" ht="15" hidden="false" customHeight="false" outlineLevel="0" collapsed="false">
      <c r="A87" s="18" t="s">
        <v>90</v>
      </c>
      <c r="B87" s="18" t="str">
        <f aca="false">INDEX('Raw Data'!$D$2:$D$251,MATCH(A87,'Raw Data'!$C$2:$C$251,0))</f>
        <v>Michael Brown</v>
      </c>
      <c r="C87" s="15" t="n">
        <f aca="false">_xlfn.MAXIFS('Raw Data'!$B$2:$B$251,'Raw Data'!$C$2:$C$251,A87)</f>
        <v>45707</v>
      </c>
      <c r="D87" s="21" t="n">
        <f aca="false">SUMIFS('Raw Data'!$N$2:$N$251,'Raw Data'!$C$2:$C$251,A87)</f>
        <v>6169.74</v>
      </c>
      <c r="E87" s="17" t="n">
        <f aca="false">COUNTIF('Raw Data'!$C$2:$C$251,A87)</f>
        <v>9</v>
      </c>
      <c r="F87" s="21" t="n">
        <f aca="false">IFERROR(D87/E87,0)</f>
        <v>685.526666666667</v>
      </c>
      <c r="G87" s="17" t="n">
        <f aca="false">RANK(D87,$D$85:$D$134)+COUNTIF($D$85:D87,D87)-1</f>
        <v>14</v>
      </c>
      <c r="H87" s="18" t="str">
        <f aca="false">IF(D87&gt;=$B$81,"High Value",IF(D87&gt;=$B$82,"Medium","Low"))</f>
        <v>Medium</v>
      </c>
      <c r="I87" s="18" t="str">
        <f aca="false">UPPER(LEFT(B87,1)&amp;MID(B87,FIND(" ",B87)+1,1))&amp;"-"&amp;RIGHT(A87,3)</f>
        <v>MB-003</v>
      </c>
      <c r="J87" s="18" t="str">
        <f aca="false">IF(E87&gt;1,"Repeat","One-time")</f>
        <v>Repeat</v>
      </c>
    </row>
    <row r="88" customFormat="false" ht="15" hidden="false" customHeight="false" outlineLevel="0" collapsed="false">
      <c r="A88" s="18" t="s">
        <v>202</v>
      </c>
      <c r="B88" s="18" t="str">
        <f aca="false">INDEX('Raw Data'!$D$2:$D$251,MATCH(A88,'Raw Data'!$C$2:$C$251,0))</f>
        <v>Sarah Davis</v>
      </c>
      <c r="C88" s="15" t="n">
        <f aca="false">_xlfn.MAXIFS('Raw Data'!$B$2:$B$251,'Raw Data'!$C$2:$C$251,A88)</f>
        <v>45619</v>
      </c>
      <c r="D88" s="21" t="n">
        <f aca="false">SUMIFS('Raw Data'!$N$2:$N$251,'Raw Data'!$C$2:$C$251,A88)</f>
        <v>5499.81</v>
      </c>
      <c r="E88" s="17" t="n">
        <f aca="false">COUNTIF('Raw Data'!$C$2:$C$251,A88)</f>
        <v>5</v>
      </c>
      <c r="F88" s="21" t="n">
        <f aca="false">IFERROR(D88/E88,0)</f>
        <v>1099.962</v>
      </c>
      <c r="G88" s="17" t="n">
        <f aca="false">RANK(D88,$D$85:$D$134)+COUNTIF($D$85:D88,D88)-1</f>
        <v>19</v>
      </c>
      <c r="H88" s="18" t="str">
        <f aca="false">IF(D88&gt;=$B$81,"High Value",IF(D88&gt;=$B$82,"Medium","Low"))</f>
        <v>Medium</v>
      </c>
      <c r="I88" s="18" t="str">
        <f aca="false">UPPER(LEFT(B88,1)&amp;MID(B88,FIND(" ",B88)+1,1))&amp;"-"&amp;RIGHT(A88,3)</f>
        <v>SD-004</v>
      </c>
      <c r="J88" s="18" t="str">
        <f aca="false">IF(E88&gt;1,"Repeat","One-time")</f>
        <v>Repeat</v>
      </c>
    </row>
    <row r="89" customFormat="false" ht="15" hidden="false" customHeight="false" outlineLevel="0" collapsed="false">
      <c r="A89" s="18" t="s">
        <v>352</v>
      </c>
      <c r="B89" s="18" t="str">
        <f aca="false">INDEX('Raw Data'!$D$2:$D$251,MATCH(A89,'Raw Data'!$C$2:$C$251,0))</f>
        <v>James Johnson</v>
      </c>
      <c r="C89" s="15" t="n">
        <f aca="false">_xlfn.MAXIFS('Raw Data'!$B$2:$B$251,'Raw Data'!$C$2:$C$251,A89)</f>
        <v>45635</v>
      </c>
      <c r="D89" s="21" t="n">
        <f aca="false">SUMIFS('Raw Data'!$N$2:$N$251,'Raw Data'!$C$2:$C$251,A89)</f>
        <v>179.97</v>
      </c>
      <c r="E89" s="17" t="n">
        <f aca="false">COUNTIF('Raw Data'!$C$2:$C$251,A89)</f>
        <v>1</v>
      </c>
      <c r="F89" s="21" t="n">
        <f aca="false">IFERROR(D89/E89,0)</f>
        <v>179.97</v>
      </c>
      <c r="G89" s="17" t="n">
        <f aca="false">RANK(D89,$D$85:$D$134)+COUNTIF($D$85:D89,D89)-1</f>
        <v>50</v>
      </c>
      <c r="H89" s="18" t="str">
        <f aca="false">IF(D89&gt;=$B$81,"High Value",IF(D89&gt;=$B$82,"Medium","Low"))</f>
        <v>Low</v>
      </c>
      <c r="I89" s="18" t="str">
        <f aca="false">UPPER(LEFT(B89,1)&amp;MID(B89,FIND(" ",B89)+1,1))&amp;"-"&amp;RIGHT(A89,3)</f>
        <v>JJ-005</v>
      </c>
      <c r="J89" s="18" t="str">
        <f aca="false">IF(E89&gt;1,"Repeat","One-time")</f>
        <v>One-time</v>
      </c>
    </row>
    <row r="90" customFormat="false" ht="15" hidden="false" customHeight="false" outlineLevel="0" collapsed="false">
      <c r="A90" s="18" t="s">
        <v>177</v>
      </c>
      <c r="B90" s="18" t="str">
        <f aca="false">INDEX('Raw Data'!$D$2:$D$251,MATCH(A90,'Raw Data'!$C$2:$C$251,0))</f>
        <v>Lisa Anderson</v>
      </c>
      <c r="C90" s="15" t="n">
        <f aca="false">_xlfn.MAXIFS('Raw Data'!$B$2:$B$251,'Raw Data'!$C$2:$C$251,A90)</f>
        <v>45676</v>
      </c>
      <c r="D90" s="21" t="n">
        <f aca="false">SUMIFS('Raw Data'!$N$2:$N$251,'Raw Data'!$C$2:$C$251,A90)</f>
        <v>2039.8</v>
      </c>
      <c r="E90" s="17" t="n">
        <f aca="false">COUNTIF('Raw Data'!$C$2:$C$251,A90)</f>
        <v>5</v>
      </c>
      <c r="F90" s="21" t="n">
        <f aca="false">IFERROR(D90/E90,0)</f>
        <v>407.96</v>
      </c>
      <c r="G90" s="17" t="n">
        <f aca="false">RANK(D90,$D$85:$D$134)+COUNTIF($D$85:D90,D90)-1</f>
        <v>36</v>
      </c>
      <c r="H90" s="18" t="str">
        <f aca="false">IF(D90&gt;=$B$81,"High Value",IF(D90&gt;=$B$82,"Medium","Low"))</f>
        <v>Low</v>
      </c>
      <c r="I90" s="18" t="str">
        <f aca="false">UPPER(LEFT(B90,1)&amp;MID(B90,FIND(" ",B90)+1,1))&amp;"-"&amp;RIGHT(A90,3)</f>
        <v>LA-006</v>
      </c>
      <c r="J90" s="18" t="str">
        <f aca="false">IF(E90&gt;1,"Repeat","One-time")</f>
        <v>Repeat</v>
      </c>
    </row>
    <row r="91" customFormat="false" ht="15" hidden="false" customHeight="false" outlineLevel="0" collapsed="false">
      <c r="A91" s="18" t="s">
        <v>230</v>
      </c>
      <c r="B91" s="18" t="str">
        <f aca="false">INDEX('Raw Data'!$D$2:$D$251,MATCH(A91,'Raw Data'!$C$2:$C$251,0))</f>
        <v>David Martinez</v>
      </c>
      <c r="C91" s="15" t="n">
        <f aca="false">_xlfn.MAXIFS('Raw Data'!$B$2:$B$251,'Raw Data'!$C$2:$C$251,A91)</f>
        <v>45648</v>
      </c>
      <c r="D91" s="21" t="n">
        <f aca="false">SUMIFS('Raw Data'!$N$2:$N$251,'Raw Data'!$C$2:$C$251,A91)</f>
        <v>1809.84</v>
      </c>
      <c r="E91" s="17" t="n">
        <f aca="false">COUNTIF('Raw Data'!$C$2:$C$251,A91)</f>
        <v>6</v>
      </c>
      <c r="F91" s="21" t="n">
        <f aca="false">IFERROR(D91/E91,0)</f>
        <v>301.64</v>
      </c>
      <c r="G91" s="17" t="n">
        <f aca="false">RANK(D91,$D$85:$D$134)+COUNTIF($D$85:D91,D91)-1</f>
        <v>39</v>
      </c>
      <c r="H91" s="18" t="str">
        <f aca="false">IF(D91&gt;=$B$81,"High Value",IF(D91&gt;=$B$82,"Medium","Low"))</f>
        <v>Low</v>
      </c>
      <c r="I91" s="18" t="str">
        <f aca="false">UPPER(LEFT(B91,1)&amp;MID(B91,FIND(" ",B91)+1,1))&amp;"-"&amp;RIGHT(A91,3)</f>
        <v>DM-007</v>
      </c>
      <c r="J91" s="18" t="str">
        <f aca="false">IF(E91&gt;1,"Repeat","One-time")</f>
        <v>Repeat</v>
      </c>
    </row>
    <row r="92" customFormat="false" ht="15" hidden="false" customHeight="false" outlineLevel="0" collapsed="false">
      <c r="A92" s="18" t="s">
        <v>189</v>
      </c>
      <c r="B92" s="18" t="str">
        <f aca="false">INDEX('Raw Data'!$D$2:$D$251,MATCH(A92,'Raw Data'!$C$2:$C$251,0))</f>
        <v>Jennifer Taylor</v>
      </c>
      <c r="C92" s="15" t="n">
        <f aca="false">_xlfn.MAXIFS('Raw Data'!$B$2:$B$251,'Raw Data'!$C$2:$C$251,A92)</f>
        <v>45635</v>
      </c>
      <c r="D92" s="21" t="n">
        <f aca="false">SUMIFS('Raw Data'!$N$2:$N$251,'Raw Data'!$C$2:$C$251,A92)</f>
        <v>4739.85</v>
      </c>
      <c r="E92" s="17" t="n">
        <f aca="false">COUNTIF('Raw Data'!$C$2:$C$251,A92)</f>
        <v>4</v>
      </c>
      <c r="F92" s="21" t="n">
        <f aca="false">IFERROR(D92/E92,0)</f>
        <v>1184.9625</v>
      </c>
      <c r="G92" s="17" t="n">
        <f aca="false">RANK(D92,$D$85:$D$134)+COUNTIF($D$85:D92,D92)-1</f>
        <v>24</v>
      </c>
      <c r="H92" s="18" t="str">
        <f aca="false">IF(D92&gt;=$B$81,"High Value",IF(D92&gt;=$B$82,"Medium","Low"))</f>
        <v>Medium</v>
      </c>
      <c r="I92" s="18" t="str">
        <f aca="false">UPPER(LEFT(B92,1)&amp;MID(B92,FIND(" ",B92)+1,1))&amp;"-"&amp;RIGHT(A92,3)</f>
        <v>JT-008</v>
      </c>
      <c r="J92" s="18" t="str">
        <f aca="false">IF(E92&gt;1,"Repeat","One-time")</f>
        <v>Repeat</v>
      </c>
    </row>
    <row r="93" customFormat="false" ht="15" hidden="false" customHeight="false" outlineLevel="0" collapsed="false">
      <c r="A93" s="18" t="s">
        <v>107</v>
      </c>
      <c r="B93" s="18" t="str">
        <f aca="false">INDEX('Raw Data'!$D$2:$D$251,MATCH(A93,'Raw Data'!$C$2:$C$251,0))</f>
        <v>Robert Thomas</v>
      </c>
      <c r="C93" s="15" t="n">
        <f aca="false">_xlfn.MAXIFS('Raw Data'!$B$2:$B$251,'Raw Data'!$C$2:$C$251,A93)</f>
        <v>45756</v>
      </c>
      <c r="D93" s="21" t="n">
        <f aca="false">SUMIFS('Raw Data'!$N$2:$N$251,'Raw Data'!$C$2:$C$251,A93)</f>
        <v>3509.9</v>
      </c>
      <c r="E93" s="17" t="n">
        <f aca="false">COUNTIF('Raw Data'!$C$2:$C$251,A93)</f>
        <v>5</v>
      </c>
      <c r="F93" s="21" t="n">
        <f aca="false">IFERROR(D93/E93,0)</f>
        <v>701.98</v>
      </c>
      <c r="G93" s="17" t="n">
        <f aca="false">RANK(D93,$D$85:$D$134)+COUNTIF($D$85:D93,D93)-1</f>
        <v>32</v>
      </c>
      <c r="H93" s="18" t="str">
        <f aca="false">IF(D93&gt;=$B$81,"High Value",IF(D93&gt;=$B$82,"Medium","Low"))</f>
        <v>Low</v>
      </c>
      <c r="I93" s="18" t="str">
        <f aca="false">UPPER(LEFT(B93,1)&amp;MID(B93,FIND(" ",B93)+1,1))&amp;"-"&amp;RIGHT(A93,3)</f>
        <v>RT-009</v>
      </c>
      <c r="J93" s="18" t="str">
        <f aca="false">IF(E93&gt;1,"Repeat","One-time")</f>
        <v>Repeat</v>
      </c>
    </row>
    <row r="94" customFormat="false" ht="15" hidden="false" customHeight="false" outlineLevel="0" collapsed="false">
      <c r="A94" s="18" t="s">
        <v>138</v>
      </c>
      <c r="B94" s="18" t="str">
        <f aca="false">INDEX('Raw Data'!$D$2:$D$251,MATCH(A94,'Raw Data'!$C$2:$C$251,0))</f>
        <v>Maria Garcia</v>
      </c>
      <c r="C94" s="15" t="n">
        <f aca="false">_xlfn.MAXIFS('Raw Data'!$B$2:$B$251,'Raw Data'!$C$2:$C$251,A94)</f>
        <v>45604</v>
      </c>
      <c r="D94" s="21" t="n">
        <f aca="false">SUMIFS('Raw Data'!$N$2:$N$251,'Raw Data'!$C$2:$C$251,A94)</f>
        <v>1909.93</v>
      </c>
      <c r="E94" s="17" t="n">
        <f aca="false">COUNTIF('Raw Data'!$C$2:$C$251,A94)</f>
        <v>4</v>
      </c>
      <c r="F94" s="21" t="n">
        <f aca="false">IFERROR(D94/E94,0)</f>
        <v>477.4825</v>
      </c>
      <c r="G94" s="17" t="n">
        <f aca="false">RANK(D94,$D$85:$D$134)+COUNTIF($D$85:D94,D94)-1</f>
        <v>38</v>
      </c>
      <c r="H94" s="18" t="str">
        <f aca="false">IF(D94&gt;=$B$81,"High Value",IF(D94&gt;=$B$82,"Medium","Low"))</f>
        <v>Low</v>
      </c>
      <c r="I94" s="18" t="str">
        <f aca="false">UPPER(LEFT(B94,1)&amp;MID(B94,FIND(" ",B94)+1,1))&amp;"-"&amp;RIGHT(A94,3)</f>
        <v>MG-010</v>
      </c>
      <c r="J94" s="18" t="str">
        <f aca="false">IF(E94&gt;1,"Repeat","One-time")</f>
        <v>Repeat</v>
      </c>
    </row>
    <row r="95" customFormat="false" ht="15" hidden="false" customHeight="false" outlineLevel="0" collapsed="false">
      <c r="A95" s="18" t="s">
        <v>300</v>
      </c>
      <c r="B95" s="18" t="str">
        <f aca="false">INDEX('Raw Data'!$D$2:$D$251,MATCH(A95,'Raw Data'!$C$2:$C$251,0))</f>
        <v>William White</v>
      </c>
      <c r="C95" s="15" t="n">
        <f aca="false">_xlfn.MAXIFS('Raw Data'!$B$2:$B$251,'Raw Data'!$C$2:$C$251,A95)</f>
        <v>45686</v>
      </c>
      <c r="D95" s="21" t="n">
        <f aca="false">SUMIFS('Raw Data'!$N$2:$N$251,'Raw Data'!$C$2:$C$251,A95)</f>
        <v>4749.91</v>
      </c>
      <c r="E95" s="17" t="n">
        <f aca="false">COUNTIF('Raw Data'!$C$2:$C$251,A95)</f>
        <v>3</v>
      </c>
      <c r="F95" s="21" t="n">
        <f aca="false">IFERROR(D95/E95,0)</f>
        <v>1583.30333333333</v>
      </c>
      <c r="G95" s="17" t="n">
        <f aca="false">RANK(D95,$D$85:$D$134)+COUNTIF($D$85:D95,D95)-1</f>
        <v>23</v>
      </c>
      <c r="H95" s="18" t="str">
        <f aca="false">IF(D95&gt;=$B$81,"High Value",IF(D95&gt;=$B$82,"Medium","Low"))</f>
        <v>Medium</v>
      </c>
      <c r="I95" s="18" t="str">
        <f aca="false">UPPER(LEFT(B95,1)&amp;MID(B95,FIND(" ",B95)+1,1))&amp;"-"&amp;RIGHT(A95,3)</f>
        <v>WW-011</v>
      </c>
      <c r="J95" s="18" t="str">
        <f aca="false">IF(E95&gt;1,"Repeat","One-time")</f>
        <v>Repeat</v>
      </c>
    </row>
    <row r="96" customFormat="false" ht="15" hidden="false" customHeight="false" outlineLevel="0" collapsed="false">
      <c r="A96" s="18" t="s">
        <v>147</v>
      </c>
      <c r="B96" s="18" t="str">
        <f aca="false">INDEX('Raw Data'!$D$2:$D$251,MATCH(A96,'Raw Data'!$C$2:$C$251,0))</f>
        <v>Patricia Moore</v>
      </c>
      <c r="C96" s="15" t="n">
        <f aca="false">_xlfn.MAXIFS('Raw Data'!$B$2:$B$251,'Raw Data'!$C$2:$C$251,A96)</f>
        <v>45607</v>
      </c>
      <c r="D96" s="21" t="n">
        <f aca="false">SUMIFS('Raw Data'!$N$2:$N$251,'Raw Data'!$C$2:$C$251,A96)</f>
        <v>9799.73</v>
      </c>
      <c r="E96" s="17" t="n">
        <f aca="false">COUNTIF('Raw Data'!$C$2:$C$251,A96)</f>
        <v>8</v>
      </c>
      <c r="F96" s="21" t="n">
        <f aca="false">IFERROR(D96/E96,0)</f>
        <v>1224.96625</v>
      </c>
      <c r="G96" s="17" t="n">
        <f aca="false">RANK(D96,$D$85:$D$134)+COUNTIF($D$85:D96,D96)-1</f>
        <v>4</v>
      </c>
      <c r="H96" s="18" t="str">
        <f aca="false">IF(D96&gt;=$B$81,"High Value",IF(D96&gt;=$B$82,"Medium","Low"))</f>
        <v>High Value</v>
      </c>
      <c r="I96" s="18" t="str">
        <f aca="false">UPPER(LEFT(B96,1)&amp;MID(B96,FIND(" ",B96)+1,1))&amp;"-"&amp;RIGHT(A96,3)</f>
        <v>PM-012</v>
      </c>
      <c r="J96" s="18" t="str">
        <f aca="false">IF(E96&gt;1,"Repeat","One-time")</f>
        <v>Repeat</v>
      </c>
    </row>
    <row r="97" customFormat="false" ht="15" hidden="false" customHeight="false" outlineLevel="0" collapsed="false">
      <c r="A97" s="18" t="s">
        <v>72</v>
      </c>
      <c r="B97" s="18" t="str">
        <f aca="false">INDEX('Raw Data'!$D$2:$D$251,MATCH(A97,'Raw Data'!$C$2:$C$251,0))</f>
        <v>Joseph Jackson</v>
      </c>
      <c r="C97" s="15" t="n">
        <f aca="false">_xlfn.MAXIFS('Raw Data'!$B$2:$B$251,'Raw Data'!$C$2:$C$251,A97)</f>
        <v>45627</v>
      </c>
      <c r="D97" s="21" t="n">
        <f aca="false">SUMIFS('Raw Data'!$N$2:$N$251,'Raw Data'!$C$2:$C$251,A97)</f>
        <v>6949.84</v>
      </c>
      <c r="E97" s="17" t="n">
        <f aca="false">COUNTIF('Raw Data'!$C$2:$C$251,A97)</f>
        <v>5</v>
      </c>
      <c r="F97" s="21" t="n">
        <f aca="false">IFERROR(D97/E97,0)</f>
        <v>1389.968</v>
      </c>
      <c r="G97" s="17" t="n">
        <f aca="false">RANK(D97,$D$85:$D$134)+COUNTIF($D$85:D97,D97)-1</f>
        <v>10</v>
      </c>
      <c r="H97" s="18" t="str">
        <f aca="false">IF(D97&gt;=$B$81,"High Value",IF(D97&gt;=$B$82,"Medium","Low"))</f>
        <v>High Value</v>
      </c>
      <c r="I97" s="18" t="str">
        <f aca="false">UPPER(LEFT(B97,1)&amp;MID(B97,FIND(" ",B97)+1,1))&amp;"-"&amp;RIGHT(A97,3)</f>
        <v>JJ-013</v>
      </c>
      <c r="J97" s="18" t="str">
        <f aca="false">IF(E97&gt;1,"Repeat","One-time")</f>
        <v>Repeat</v>
      </c>
    </row>
    <row r="98" customFormat="false" ht="15" hidden="false" customHeight="false" outlineLevel="0" collapsed="false">
      <c r="A98" s="18" t="s">
        <v>163</v>
      </c>
      <c r="B98" s="18" t="str">
        <f aca="false">INDEX('Raw Data'!$D$2:$D$251,MATCH(A98,'Raw Data'!$C$2:$C$251,0))</f>
        <v>Linda Martin</v>
      </c>
      <c r="C98" s="15" t="n">
        <f aca="false">_xlfn.MAXIFS('Raw Data'!$B$2:$B$251,'Raw Data'!$C$2:$C$251,A98)</f>
        <v>45648</v>
      </c>
      <c r="D98" s="21" t="n">
        <f aca="false">SUMIFS('Raw Data'!$N$2:$N$251,'Raw Data'!$C$2:$C$251,A98)</f>
        <v>1289.9</v>
      </c>
      <c r="E98" s="17" t="n">
        <f aca="false">COUNTIF('Raw Data'!$C$2:$C$251,A98)</f>
        <v>4</v>
      </c>
      <c r="F98" s="21" t="n">
        <f aca="false">IFERROR(D98/E98,0)</f>
        <v>322.475</v>
      </c>
      <c r="G98" s="17" t="n">
        <f aca="false">RANK(D98,$D$85:$D$134)+COUNTIF($D$85:D98,D98)-1</f>
        <v>43</v>
      </c>
      <c r="H98" s="18" t="str">
        <f aca="false">IF(D98&gt;=$B$81,"High Value",IF(D98&gt;=$B$82,"Medium","Low"))</f>
        <v>Low</v>
      </c>
      <c r="I98" s="18" t="str">
        <f aca="false">UPPER(LEFT(B98,1)&amp;MID(B98,FIND(" ",B98)+1,1))&amp;"-"&amp;RIGHT(A98,3)</f>
        <v>LM-014</v>
      </c>
      <c r="J98" s="18" t="str">
        <f aca="false">IF(E98&gt;1,"Repeat","One-time")</f>
        <v>Repeat</v>
      </c>
    </row>
    <row r="99" customFormat="false" ht="15" hidden="false" customHeight="false" outlineLevel="0" collapsed="false">
      <c r="A99" s="18" t="s">
        <v>307</v>
      </c>
      <c r="B99" s="18" t="str">
        <f aca="false">INDEX('Raw Data'!$D$2:$D$251,MATCH(A99,'Raw Data'!$C$2:$C$251,0))</f>
        <v>Richard Lee</v>
      </c>
      <c r="C99" s="15" t="n">
        <f aca="false">_xlfn.MAXIFS('Raw Data'!$B$2:$B$251,'Raw Data'!$C$2:$C$251,A99)</f>
        <v>45715</v>
      </c>
      <c r="D99" s="21" t="n">
        <f aca="false">SUMIFS('Raw Data'!$N$2:$N$251,'Raw Data'!$C$2:$C$251,A99)</f>
        <v>739.93</v>
      </c>
      <c r="E99" s="17" t="n">
        <f aca="false">COUNTIF('Raw Data'!$C$2:$C$251,A99)</f>
        <v>3</v>
      </c>
      <c r="F99" s="21" t="n">
        <f aca="false">IFERROR(D99/E99,0)</f>
        <v>246.643333333333</v>
      </c>
      <c r="G99" s="17" t="n">
        <f aca="false">RANK(D99,$D$85:$D$134)+COUNTIF($D$85:D99,D99)-1</f>
        <v>46</v>
      </c>
      <c r="H99" s="18" t="str">
        <f aca="false">IF(D99&gt;=$B$81,"High Value",IF(D99&gt;=$B$82,"Medium","Low"))</f>
        <v>Low</v>
      </c>
      <c r="I99" s="18" t="str">
        <f aca="false">UPPER(LEFT(B99,1)&amp;MID(B99,FIND(" ",B99)+1,1))&amp;"-"&amp;RIGHT(A99,3)</f>
        <v>RL-015</v>
      </c>
      <c r="J99" s="18" t="str">
        <f aca="false">IF(E99&gt;1,"Repeat","One-time")</f>
        <v>Repeat</v>
      </c>
    </row>
    <row r="100" customFormat="false" ht="15" hidden="false" customHeight="false" outlineLevel="0" collapsed="false">
      <c r="A100" s="18" t="s">
        <v>259</v>
      </c>
      <c r="B100" s="18" t="str">
        <f aca="false">INDEX('Raw Data'!$D$2:$D$251,MATCH(A100,'Raw Data'!$C$2:$C$251,0))</f>
        <v>Elizabeth Hall</v>
      </c>
      <c r="C100" s="15" t="n">
        <f aca="false">_xlfn.MAXIFS('Raw Data'!$B$2:$B$251,'Raw Data'!$C$2:$C$251,A100)</f>
        <v>45711</v>
      </c>
      <c r="D100" s="21" t="n">
        <f aca="false">SUMIFS('Raw Data'!$N$2:$N$251,'Raw Data'!$C$2:$C$251,A100)</f>
        <v>3649.86</v>
      </c>
      <c r="E100" s="17" t="n">
        <f aca="false">COUNTIF('Raw Data'!$C$2:$C$251,A100)</f>
        <v>4</v>
      </c>
      <c r="F100" s="21" t="n">
        <f aca="false">IFERROR(D100/E100,0)</f>
        <v>912.465</v>
      </c>
      <c r="G100" s="17" t="n">
        <f aca="false">RANK(D100,$D$85:$D$134)+COUNTIF($D$85:D100,D100)-1</f>
        <v>31</v>
      </c>
      <c r="H100" s="18" t="str">
        <f aca="false">IF(D100&gt;=$B$81,"High Value",IF(D100&gt;=$B$82,"Medium","Low"))</f>
        <v>Low</v>
      </c>
      <c r="I100" s="18" t="str">
        <f aca="false">UPPER(LEFT(B100,1)&amp;MID(B100,FIND(" ",B100)+1,1))&amp;"-"&amp;RIGHT(A100,3)</f>
        <v>EH-016</v>
      </c>
      <c r="J100" s="18" t="str">
        <f aca="false">IF(E100&gt;1,"Repeat","One-time")</f>
        <v>Repeat</v>
      </c>
    </row>
    <row r="101" customFormat="false" ht="15" hidden="false" customHeight="false" outlineLevel="0" collapsed="false">
      <c r="A101" s="18" t="s">
        <v>103</v>
      </c>
      <c r="B101" s="18" t="str">
        <f aca="false">INDEX('Raw Data'!$D$2:$D$251,MATCH(A101,'Raw Data'!$C$2:$C$251,0))</f>
        <v>Charles Allen</v>
      </c>
      <c r="C101" s="15" t="n">
        <f aca="false">_xlfn.MAXIFS('Raw Data'!$B$2:$B$251,'Raw Data'!$C$2:$C$251,A101)</f>
        <v>45724</v>
      </c>
      <c r="D101" s="21" t="n">
        <f aca="false">SUMIFS('Raw Data'!$N$2:$N$251,'Raw Data'!$C$2:$C$251,A101)</f>
        <v>5089.73</v>
      </c>
      <c r="E101" s="17" t="n">
        <f aca="false">COUNTIF('Raw Data'!$C$2:$C$251,A101)</f>
        <v>9</v>
      </c>
      <c r="F101" s="21" t="n">
        <f aca="false">IFERROR(D101/E101,0)</f>
        <v>565.525555555556</v>
      </c>
      <c r="G101" s="17" t="n">
        <f aca="false">RANK(D101,$D$85:$D$134)+COUNTIF($D$85:D101,D101)-1</f>
        <v>20</v>
      </c>
      <c r="H101" s="18" t="str">
        <f aca="false">IF(D101&gt;=$B$81,"High Value",IF(D101&gt;=$B$82,"Medium","Low"))</f>
        <v>Medium</v>
      </c>
      <c r="I101" s="18" t="str">
        <f aca="false">UPPER(LEFT(B101,1)&amp;MID(B101,FIND(" ",B101)+1,1))&amp;"-"&amp;RIGHT(A101,3)</f>
        <v>CA-017</v>
      </c>
      <c r="J101" s="18" t="str">
        <f aca="false">IF(E101&gt;1,"Repeat","One-time")</f>
        <v>Repeat</v>
      </c>
    </row>
    <row r="102" customFormat="false" ht="15" hidden="false" customHeight="false" outlineLevel="0" collapsed="false">
      <c r="A102" s="18" t="s">
        <v>144</v>
      </c>
      <c r="B102" s="18" t="str">
        <f aca="false">INDEX('Raw Data'!$D$2:$D$251,MATCH(A102,'Raw Data'!$C$2:$C$251,0))</f>
        <v>Barbara Young</v>
      </c>
      <c r="C102" s="15" t="n">
        <f aca="false">_xlfn.MAXIFS('Raw Data'!$B$2:$B$251,'Raw Data'!$C$2:$C$251,A102)</f>
        <v>45708</v>
      </c>
      <c r="D102" s="21" t="n">
        <f aca="false">SUMIFS('Raw Data'!$N$2:$N$251,'Raw Data'!$C$2:$C$251,A102)</f>
        <v>10649.8</v>
      </c>
      <c r="E102" s="17" t="n">
        <f aca="false">COUNTIF('Raw Data'!$C$2:$C$251,A102)</f>
        <v>5</v>
      </c>
      <c r="F102" s="21" t="n">
        <f aca="false">IFERROR(D102/E102,0)</f>
        <v>2129.96</v>
      </c>
      <c r="G102" s="17" t="n">
        <f aca="false">RANK(D102,$D$85:$D$134)+COUNTIF($D$85:D102,D102)-1</f>
        <v>3</v>
      </c>
      <c r="H102" s="18" t="str">
        <f aca="false">IF(D102&gt;=$B$81,"High Value",IF(D102&gt;=$B$82,"Medium","Low"))</f>
        <v>High Value</v>
      </c>
      <c r="I102" s="18" t="str">
        <f aca="false">UPPER(LEFT(B102,1)&amp;MID(B102,FIND(" ",B102)+1,1))&amp;"-"&amp;RIGHT(A102,3)</f>
        <v>BY-018</v>
      </c>
      <c r="J102" s="18" t="str">
        <f aca="false">IF(E102&gt;1,"Repeat","One-time")</f>
        <v>Repeat</v>
      </c>
    </row>
    <row r="103" customFormat="false" ht="15" hidden="false" customHeight="false" outlineLevel="0" collapsed="false">
      <c r="A103" s="18" t="s">
        <v>195</v>
      </c>
      <c r="B103" s="18" t="str">
        <f aca="false">INDEX('Raw Data'!$D$2:$D$251,MATCH(A103,'Raw Data'!$C$2:$C$251,0))</f>
        <v>Daniel King</v>
      </c>
      <c r="C103" s="15" t="n">
        <f aca="false">_xlfn.MAXIFS('Raw Data'!$B$2:$B$251,'Raw Data'!$C$2:$C$251,A103)</f>
        <v>45660</v>
      </c>
      <c r="D103" s="21" t="n">
        <f aca="false">SUMIFS('Raw Data'!$N$2:$N$251,'Raw Data'!$C$2:$C$251,A103)</f>
        <v>7309.8</v>
      </c>
      <c r="E103" s="17" t="n">
        <f aca="false">COUNTIF('Raw Data'!$C$2:$C$251,A103)</f>
        <v>7</v>
      </c>
      <c r="F103" s="21" t="n">
        <f aca="false">IFERROR(D103/E103,0)</f>
        <v>1044.25714285714</v>
      </c>
      <c r="G103" s="17" t="n">
        <f aca="false">RANK(D103,$D$85:$D$134)+COUNTIF($D$85:D103,D103)-1</f>
        <v>8</v>
      </c>
      <c r="H103" s="18" t="str">
        <f aca="false">IF(D103&gt;=$B$81,"High Value",IF(D103&gt;=$B$82,"Medium","Low"))</f>
        <v>High Value</v>
      </c>
      <c r="I103" s="18" t="str">
        <f aca="false">UPPER(LEFT(B103,1)&amp;MID(B103,FIND(" ",B103)+1,1))&amp;"-"&amp;RIGHT(A103,3)</f>
        <v>DK-019</v>
      </c>
      <c r="J103" s="18" t="str">
        <f aca="false">IF(E103&gt;1,"Repeat","One-time")</f>
        <v>Repeat</v>
      </c>
    </row>
    <row r="104" customFormat="false" ht="15" hidden="false" customHeight="false" outlineLevel="0" collapsed="false">
      <c r="A104" s="18" t="s">
        <v>233</v>
      </c>
      <c r="B104" s="18" t="str">
        <f aca="false">INDEX('Raw Data'!$D$2:$D$251,MATCH(A104,'Raw Data'!$C$2:$C$251,0))</f>
        <v>Margaret Wright</v>
      </c>
      <c r="C104" s="15" t="n">
        <f aca="false">_xlfn.MAXIFS('Raw Data'!$B$2:$B$251,'Raw Data'!$C$2:$C$251,A104)</f>
        <v>45745</v>
      </c>
      <c r="D104" s="21" t="n">
        <f aca="false">SUMIFS('Raw Data'!$N$2:$N$251,'Raw Data'!$C$2:$C$251,A104)</f>
        <v>2099.88</v>
      </c>
      <c r="E104" s="17" t="n">
        <f aca="false">COUNTIF('Raw Data'!$C$2:$C$251,A104)</f>
        <v>4</v>
      </c>
      <c r="F104" s="21" t="n">
        <f aca="false">IFERROR(D104/E104,0)</f>
        <v>524.97</v>
      </c>
      <c r="G104" s="17" t="n">
        <f aca="false">RANK(D104,$D$85:$D$134)+COUNTIF($D$85:D104,D104)-1</f>
        <v>35</v>
      </c>
      <c r="H104" s="18" t="str">
        <f aca="false">IF(D104&gt;=$B$81,"High Value",IF(D104&gt;=$B$82,"Medium","Low"))</f>
        <v>Low</v>
      </c>
      <c r="I104" s="18" t="str">
        <f aca="false">UPPER(LEFT(B104,1)&amp;MID(B104,FIND(" ",B104)+1,1))&amp;"-"&amp;RIGHT(A104,3)</f>
        <v>MW-020</v>
      </c>
      <c r="J104" s="18" t="str">
        <f aca="false">IF(E104&gt;1,"Repeat","One-time")</f>
        <v>Repeat</v>
      </c>
    </row>
    <row r="105" customFormat="false" ht="15" hidden="false" customHeight="false" outlineLevel="0" collapsed="false">
      <c r="A105" s="18" t="s">
        <v>77</v>
      </c>
      <c r="B105" s="18" t="str">
        <f aca="false">INDEX('Raw Data'!$D$2:$D$251,MATCH(A105,'Raw Data'!$C$2:$C$251,0))</f>
        <v>Kevin Scott</v>
      </c>
      <c r="C105" s="15" t="n">
        <f aca="false">_xlfn.MAXIFS('Raw Data'!$B$2:$B$251,'Raw Data'!$C$2:$C$251,A105)</f>
        <v>45704</v>
      </c>
      <c r="D105" s="21" t="n">
        <f aca="false">SUMIFS('Raw Data'!$N$2:$N$251,'Raw Data'!$C$2:$C$251,A105)</f>
        <v>3259.87</v>
      </c>
      <c r="E105" s="17" t="n">
        <f aca="false">COUNTIF('Raw Data'!$C$2:$C$251,A105)</f>
        <v>6</v>
      </c>
      <c r="F105" s="21" t="n">
        <f aca="false">IFERROR(D105/E105,0)</f>
        <v>543.311666666667</v>
      </c>
      <c r="G105" s="17" t="n">
        <f aca="false">RANK(D105,$D$85:$D$134)+COUNTIF($D$85:D105,D105)-1</f>
        <v>33</v>
      </c>
      <c r="H105" s="18" t="str">
        <f aca="false">IF(D105&gt;=$B$81,"High Value",IF(D105&gt;=$B$82,"Medium","Low"))</f>
        <v>Low</v>
      </c>
      <c r="I105" s="18" t="str">
        <f aca="false">UPPER(LEFT(B105,1)&amp;MID(B105,FIND(" ",B105)+1,1))&amp;"-"&amp;RIGHT(A105,3)</f>
        <v>KS-021</v>
      </c>
      <c r="J105" s="18" t="str">
        <f aca="false">IF(E105&gt;1,"Repeat","One-time")</f>
        <v>Repeat</v>
      </c>
    </row>
    <row r="106" customFormat="false" ht="15" hidden="false" customHeight="false" outlineLevel="0" collapsed="false">
      <c r="A106" s="18" t="s">
        <v>113</v>
      </c>
      <c r="B106" s="18" t="str">
        <f aca="false">INDEX('Raw Data'!$D$2:$D$251,MATCH(A106,'Raw Data'!$C$2:$C$251,0))</f>
        <v>Susan Green</v>
      </c>
      <c r="C106" s="15" t="n">
        <f aca="false">_xlfn.MAXIFS('Raw Data'!$B$2:$B$251,'Raw Data'!$C$2:$C$251,A106)</f>
        <v>45682</v>
      </c>
      <c r="D106" s="21" t="n">
        <f aca="false">SUMIFS('Raw Data'!$N$2:$N$251,'Raw Data'!$C$2:$C$251,A106)</f>
        <v>1979.89</v>
      </c>
      <c r="E106" s="17" t="n">
        <f aca="false">COUNTIF('Raw Data'!$C$2:$C$251,A106)</f>
        <v>4</v>
      </c>
      <c r="F106" s="21" t="n">
        <f aca="false">IFERROR(D106/E106,0)</f>
        <v>494.9725</v>
      </c>
      <c r="G106" s="17" t="n">
        <f aca="false">RANK(D106,$D$85:$D$134)+COUNTIF($D$85:D106,D106)-1</f>
        <v>37</v>
      </c>
      <c r="H106" s="18" t="str">
        <f aca="false">IF(D106&gt;=$B$81,"High Value",IF(D106&gt;=$B$82,"Medium","Low"))</f>
        <v>Low</v>
      </c>
      <c r="I106" s="18" t="str">
        <f aca="false">UPPER(LEFT(B106,1)&amp;MID(B106,FIND(" ",B106)+1,1))&amp;"-"&amp;RIGHT(A106,3)</f>
        <v>SG-022</v>
      </c>
      <c r="J106" s="18" t="str">
        <f aca="false">IF(E106&gt;1,"Repeat","One-time")</f>
        <v>Repeat</v>
      </c>
    </row>
    <row r="107" customFormat="false" ht="15" hidden="false" customHeight="false" outlineLevel="0" collapsed="false">
      <c r="A107" s="18" t="s">
        <v>63</v>
      </c>
      <c r="B107" s="18" t="str">
        <f aca="false">INDEX('Raw Data'!$D$2:$D$251,MATCH(A107,'Raw Data'!$C$2:$C$251,0))</f>
        <v>Paul Baker</v>
      </c>
      <c r="C107" s="15" t="n">
        <f aca="false">_xlfn.MAXIFS('Raw Data'!$B$2:$B$251,'Raw Data'!$C$2:$C$251,A107)</f>
        <v>45739</v>
      </c>
      <c r="D107" s="21" t="n">
        <f aca="false">SUMIFS('Raw Data'!$N$2:$N$251,'Raw Data'!$C$2:$C$251,A107)</f>
        <v>8309.74</v>
      </c>
      <c r="E107" s="17" t="n">
        <f aca="false">COUNTIF('Raw Data'!$C$2:$C$251,A107)</f>
        <v>8</v>
      </c>
      <c r="F107" s="21" t="n">
        <f aca="false">IFERROR(D107/E107,0)</f>
        <v>1038.7175</v>
      </c>
      <c r="G107" s="17" t="n">
        <f aca="false">RANK(D107,$D$85:$D$134)+COUNTIF($D$85:D107,D107)-1</f>
        <v>5</v>
      </c>
      <c r="H107" s="18" t="str">
        <f aca="false">IF(D107&gt;=$B$81,"High Value",IF(D107&gt;=$B$82,"Medium","Low"))</f>
        <v>High Value</v>
      </c>
      <c r="I107" s="18" t="str">
        <f aca="false">UPPER(LEFT(B107,1)&amp;MID(B107,FIND(" ",B107)+1,1))&amp;"-"&amp;RIGHT(A107,3)</f>
        <v>PB-023</v>
      </c>
      <c r="J107" s="18" t="str">
        <f aca="false">IF(E107&gt;1,"Repeat","One-time")</f>
        <v>Repeat</v>
      </c>
    </row>
    <row r="108" customFormat="false" ht="15" hidden="false" customHeight="false" outlineLevel="0" collapsed="false">
      <c r="A108" s="18" t="s">
        <v>96</v>
      </c>
      <c r="B108" s="18" t="str">
        <f aca="false">INDEX('Raw Data'!$D$2:$D$251,MATCH(A108,'Raw Data'!$C$2:$C$251,0))</f>
        <v>Dorothy Nelson</v>
      </c>
      <c r="C108" s="15" t="n">
        <f aca="false">_xlfn.MAXIFS('Raw Data'!$B$2:$B$251,'Raw Data'!$C$2:$C$251,A108)</f>
        <v>45737</v>
      </c>
      <c r="D108" s="21" t="n">
        <f aca="false">SUMIFS('Raw Data'!$N$2:$N$251,'Raw Data'!$C$2:$C$251,A108)</f>
        <v>8269.79</v>
      </c>
      <c r="E108" s="17" t="n">
        <f aca="false">COUNTIF('Raw Data'!$C$2:$C$251,A108)</f>
        <v>6</v>
      </c>
      <c r="F108" s="21" t="n">
        <f aca="false">IFERROR(D108/E108,0)</f>
        <v>1378.29833333333</v>
      </c>
      <c r="G108" s="17" t="n">
        <f aca="false">RANK(D108,$D$85:$D$134)+COUNTIF($D$85:D108,D108)-1</f>
        <v>6</v>
      </c>
      <c r="H108" s="18" t="str">
        <f aca="false">IF(D108&gt;=$B$81,"High Value",IF(D108&gt;=$B$82,"Medium","Low"))</f>
        <v>High Value</v>
      </c>
      <c r="I108" s="18" t="str">
        <f aca="false">UPPER(LEFT(B108,1)&amp;MID(B108,FIND(" ",B108)+1,1))&amp;"-"&amp;RIGHT(A108,3)</f>
        <v>DN-024</v>
      </c>
      <c r="J108" s="18" t="str">
        <f aca="false">IF(E108&gt;1,"Repeat","One-time")</f>
        <v>Repeat</v>
      </c>
    </row>
    <row r="109" customFormat="false" ht="15" hidden="false" customHeight="false" outlineLevel="0" collapsed="false">
      <c r="A109" s="18" t="s">
        <v>134</v>
      </c>
      <c r="B109" s="18" t="str">
        <f aca="false">INDEX('Raw Data'!$D$2:$D$251,MATCH(A109,'Raw Data'!$C$2:$C$251,0))</f>
        <v>Mark Carter</v>
      </c>
      <c r="C109" s="15" t="n">
        <f aca="false">_xlfn.MAXIFS('Raw Data'!$B$2:$B$251,'Raw Data'!$C$2:$C$251,A109)</f>
        <v>45686</v>
      </c>
      <c r="D109" s="21" t="n">
        <f aca="false">SUMIFS('Raw Data'!$N$2:$N$251,'Raw Data'!$C$2:$C$251,A109)</f>
        <v>15659.65</v>
      </c>
      <c r="E109" s="17" t="n">
        <f aca="false">COUNTIF('Raw Data'!$C$2:$C$251,A109)</f>
        <v>12</v>
      </c>
      <c r="F109" s="21" t="n">
        <f aca="false">IFERROR(D109/E109,0)</f>
        <v>1304.97083333333</v>
      </c>
      <c r="G109" s="17" t="n">
        <f aca="false">RANK(D109,$D$85:$D$134)+COUNTIF($D$85:D109,D109)-1</f>
        <v>1</v>
      </c>
      <c r="H109" s="18" t="str">
        <f aca="false">IF(D109&gt;=$B$81,"High Value",IF(D109&gt;=$B$82,"Medium","Low"))</f>
        <v>High Value</v>
      </c>
      <c r="I109" s="18" t="str">
        <f aca="false">UPPER(LEFT(B109,1)&amp;MID(B109,FIND(" ",B109)+1,1))&amp;"-"&amp;RIGHT(A109,3)</f>
        <v>MC-025</v>
      </c>
      <c r="J109" s="18" t="str">
        <f aca="false">IF(E109&gt;1,"Repeat","One-time")</f>
        <v>Repeat</v>
      </c>
    </row>
    <row r="110" customFormat="false" ht="15" hidden="false" customHeight="false" outlineLevel="0" collapsed="false">
      <c r="A110" s="18" t="s">
        <v>116</v>
      </c>
      <c r="B110" s="18" t="str">
        <f aca="false">INDEX('Raw Data'!$D$2:$D$251,MATCH(A110,'Raw Data'!$C$2:$C$251,0))</f>
        <v>Karen Hill</v>
      </c>
      <c r="C110" s="15" t="n">
        <f aca="false">_xlfn.MAXIFS('Raw Data'!$B$2:$B$251,'Raw Data'!$C$2:$C$251,A110)</f>
        <v>45746</v>
      </c>
      <c r="D110" s="21" t="n">
        <f aca="false">SUMIFS('Raw Data'!$N$2:$N$251,'Raw Data'!$C$2:$C$251,A110)</f>
        <v>8009.77</v>
      </c>
      <c r="E110" s="17" t="n">
        <f aca="false">COUNTIF('Raw Data'!$C$2:$C$251,A110)</f>
        <v>8</v>
      </c>
      <c r="F110" s="21" t="n">
        <f aca="false">IFERROR(D110/E110,0)</f>
        <v>1001.22125</v>
      </c>
      <c r="G110" s="17" t="n">
        <f aca="false">RANK(D110,$D$85:$D$134)+COUNTIF($D$85:D110,D110)-1</f>
        <v>7</v>
      </c>
      <c r="H110" s="18" t="str">
        <f aca="false">IF(D110&gt;=$B$81,"High Value",IF(D110&gt;=$B$82,"Medium","Low"))</f>
        <v>High Value</v>
      </c>
      <c r="I110" s="18" t="str">
        <f aca="false">UPPER(LEFT(B110,1)&amp;MID(B110,FIND(" ",B110)+1,1))&amp;"-"&amp;RIGHT(A110,3)</f>
        <v>KH-026</v>
      </c>
      <c r="J110" s="18" t="str">
        <f aca="false">IF(E110&gt;1,"Repeat","One-time")</f>
        <v>Repeat</v>
      </c>
    </row>
    <row r="111" customFormat="false" ht="15" hidden="false" customHeight="false" outlineLevel="0" collapsed="false">
      <c r="A111" s="18" t="s">
        <v>131</v>
      </c>
      <c r="B111" s="18" t="str">
        <f aca="false">INDEX('Raw Data'!$D$2:$D$251,MATCH(A111,'Raw Data'!$C$2:$C$251,0))</f>
        <v>George Adams</v>
      </c>
      <c r="C111" s="15" t="n">
        <f aca="false">_xlfn.MAXIFS('Raw Data'!$B$2:$B$251,'Raw Data'!$C$2:$C$251,A111)</f>
        <v>45608</v>
      </c>
      <c r="D111" s="21" t="n">
        <f aca="false">SUMIFS('Raw Data'!$N$2:$N$251,'Raw Data'!$C$2:$C$251,A111)</f>
        <v>3779.93</v>
      </c>
      <c r="E111" s="17" t="n">
        <f aca="false">COUNTIF('Raw Data'!$C$2:$C$251,A111)</f>
        <v>3</v>
      </c>
      <c r="F111" s="21" t="n">
        <f aca="false">IFERROR(D111/E111,0)</f>
        <v>1259.97666666667</v>
      </c>
      <c r="G111" s="17" t="n">
        <f aca="false">RANK(D111,$D$85:$D$134)+COUNTIF($D$85:D111,D111)-1</f>
        <v>28</v>
      </c>
      <c r="H111" s="18" t="str">
        <f aca="false">IF(D111&gt;=$B$81,"High Value",IF(D111&gt;=$B$82,"Medium","Low"))</f>
        <v>Low</v>
      </c>
      <c r="I111" s="18" t="str">
        <f aca="false">UPPER(LEFT(B111,1)&amp;MID(B111,FIND(" ",B111)+1,1))&amp;"-"&amp;RIGHT(A111,3)</f>
        <v>GA-027</v>
      </c>
      <c r="J111" s="18" t="str">
        <f aca="false">IF(E111&gt;1,"Repeat","One-time")</f>
        <v>Repeat</v>
      </c>
    </row>
    <row r="112" customFormat="false" ht="15" hidden="false" customHeight="false" outlineLevel="0" collapsed="false">
      <c r="A112" s="18" t="s">
        <v>205</v>
      </c>
      <c r="B112" s="18" t="str">
        <f aca="false">INDEX('Raw Data'!$D$2:$D$251,MATCH(A112,'Raw Data'!$C$2:$C$251,0))</f>
        <v>Betty Campbell</v>
      </c>
      <c r="C112" s="15" t="n">
        <f aca="false">_xlfn.MAXIFS('Raw Data'!$B$2:$B$251,'Raw Data'!$C$2:$C$251,A112)</f>
        <v>45671</v>
      </c>
      <c r="D112" s="21" t="n">
        <f aca="false">SUMIFS('Raw Data'!$N$2:$N$251,'Raw Data'!$C$2:$C$251,A112)</f>
        <v>5649.84</v>
      </c>
      <c r="E112" s="17" t="n">
        <f aca="false">COUNTIF('Raw Data'!$C$2:$C$251,A112)</f>
        <v>5</v>
      </c>
      <c r="F112" s="21" t="n">
        <f aca="false">IFERROR(D112/E112,0)</f>
        <v>1129.968</v>
      </c>
      <c r="G112" s="17" t="n">
        <f aca="false">RANK(D112,$D$85:$D$134)+COUNTIF($D$85:D112,D112)-1</f>
        <v>16</v>
      </c>
      <c r="H112" s="18" t="str">
        <f aca="false">IF(D112&gt;=$B$81,"High Value",IF(D112&gt;=$B$82,"Medium","Low"))</f>
        <v>Medium</v>
      </c>
      <c r="I112" s="18" t="str">
        <f aca="false">UPPER(LEFT(B112,1)&amp;MID(B112,FIND(" ",B112)+1,1))&amp;"-"&amp;RIGHT(A112,3)</f>
        <v>BC-028</v>
      </c>
      <c r="J112" s="18" t="str">
        <f aca="false">IF(E112&gt;1,"Repeat","One-time")</f>
        <v>Repeat</v>
      </c>
    </row>
    <row r="113" customFormat="false" ht="15" hidden="false" customHeight="false" outlineLevel="0" collapsed="false">
      <c r="A113" s="18" t="s">
        <v>174</v>
      </c>
      <c r="B113" s="18" t="str">
        <f aca="false">INDEX('Raw Data'!$D$2:$D$251,MATCH(A113,'Raw Data'!$C$2:$C$251,0))</f>
        <v>Edward Mitchell</v>
      </c>
      <c r="C113" s="15" t="n">
        <f aca="false">_xlfn.MAXIFS('Raw Data'!$B$2:$B$251,'Raw Data'!$C$2:$C$251,A113)</f>
        <v>45749</v>
      </c>
      <c r="D113" s="21" t="n">
        <f aca="false">SUMIFS('Raw Data'!$N$2:$N$251,'Raw Data'!$C$2:$C$251,A113)</f>
        <v>11919.77</v>
      </c>
      <c r="E113" s="17" t="n">
        <f aca="false">COUNTIF('Raw Data'!$C$2:$C$251,A113)</f>
        <v>6</v>
      </c>
      <c r="F113" s="21" t="n">
        <f aca="false">IFERROR(D113/E113,0)</f>
        <v>1986.62833333333</v>
      </c>
      <c r="G113" s="17" t="n">
        <f aca="false">RANK(D113,$D$85:$D$134)+COUNTIF($D$85:D113,D113)-1</f>
        <v>2</v>
      </c>
      <c r="H113" s="18" t="str">
        <f aca="false">IF(D113&gt;=$B$81,"High Value",IF(D113&gt;=$B$82,"Medium","Low"))</f>
        <v>High Value</v>
      </c>
      <c r="I113" s="18" t="str">
        <f aca="false">UPPER(LEFT(B113,1)&amp;MID(B113,FIND(" ",B113)+1,1))&amp;"-"&amp;RIGHT(A113,3)</f>
        <v>EM-029</v>
      </c>
      <c r="J113" s="18" t="str">
        <f aca="false">IF(E113&gt;1,"Repeat","One-time")</f>
        <v>Repeat</v>
      </c>
    </row>
    <row r="114" customFormat="false" ht="15" hidden="false" customHeight="false" outlineLevel="0" collapsed="false">
      <c r="A114" s="18" t="s">
        <v>168</v>
      </c>
      <c r="B114" s="18" t="str">
        <f aca="false">INDEX('Raw Data'!$D$2:$D$251,MATCH(A114,'Raw Data'!$C$2:$C$251,0))</f>
        <v>Helen Roberts</v>
      </c>
      <c r="C114" s="15" t="n">
        <f aca="false">_xlfn.MAXIFS('Raw Data'!$B$2:$B$251,'Raw Data'!$C$2:$C$251,A114)</f>
        <v>45723</v>
      </c>
      <c r="D114" s="21" t="n">
        <f aca="false">SUMIFS('Raw Data'!$N$2:$N$251,'Raw Data'!$C$2:$C$251,A114)</f>
        <v>6459.79</v>
      </c>
      <c r="E114" s="17" t="n">
        <f aca="false">COUNTIF('Raw Data'!$C$2:$C$251,A114)</f>
        <v>7</v>
      </c>
      <c r="F114" s="21" t="n">
        <f aca="false">IFERROR(D114/E114,0)</f>
        <v>922.827142857143</v>
      </c>
      <c r="G114" s="17" t="n">
        <f aca="false">RANK(D114,$D$85:$D$134)+COUNTIF($D$85:D114,D114)-1</f>
        <v>11</v>
      </c>
      <c r="H114" s="18" t="str">
        <f aca="false">IF(D114&gt;=$B$81,"High Value",IF(D114&gt;=$B$82,"Medium","Low"))</f>
        <v>Medium</v>
      </c>
      <c r="I114" s="18" t="str">
        <f aca="false">UPPER(LEFT(B114,1)&amp;MID(B114,FIND(" ",B114)+1,1))&amp;"-"&amp;RIGHT(A114,3)</f>
        <v>HR-030</v>
      </c>
      <c r="J114" s="18" t="str">
        <f aca="false">IF(E114&gt;1,"Repeat","One-time")</f>
        <v>Repeat</v>
      </c>
    </row>
    <row r="115" customFormat="false" ht="15" hidden="false" customHeight="false" outlineLevel="0" collapsed="false">
      <c r="A115" s="18" t="s">
        <v>186</v>
      </c>
      <c r="B115" s="18" t="str">
        <f aca="false">INDEX('Raw Data'!$D$2:$D$251,MATCH(A115,'Raw Data'!$C$2:$C$251,0))</f>
        <v>Steven Turner</v>
      </c>
      <c r="C115" s="15" t="n">
        <f aca="false">_xlfn.MAXIFS('Raw Data'!$B$2:$B$251,'Raw Data'!$C$2:$C$251,A115)</f>
        <v>45758</v>
      </c>
      <c r="D115" s="21" t="n">
        <f aca="false">SUMIFS('Raw Data'!$N$2:$N$251,'Raw Data'!$C$2:$C$251,A115)</f>
        <v>2649.83</v>
      </c>
      <c r="E115" s="17" t="n">
        <f aca="false">COUNTIF('Raw Data'!$C$2:$C$251,A115)</f>
        <v>6</v>
      </c>
      <c r="F115" s="21" t="n">
        <f aca="false">IFERROR(D115/E115,0)</f>
        <v>441.638333333333</v>
      </c>
      <c r="G115" s="17" t="n">
        <f aca="false">RANK(D115,$D$85:$D$134)+COUNTIF($D$85:D115,D115)-1</f>
        <v>34</v>
      </c>
      <c r="H115" s="18" t="str">
        <f aca="false">IF(D115&gt;=$B$81,"High Value",IF(D115&gt;=$B$82,"Medium","Low"))</f>
        <v>Low</v>
      </c>
      <c r="I115" s="18" t="str">
        <f aca="false">UPPER(LEFT(B115,1)&amp;MID(B115,FIND(" ",B115)+1,1))&amp;"-"&amp;RIGHT(A115,3)</f>
        <v>ST-031</v>
      </c>
      <c r="J115" s="18" t="str">
        <f aca="false">IF(E115&gt;1,"Repeat","One-time")</f>
        <v>Repeat</v>
      </c>
    </row>
    <row r="116" customFormat="false" ht="15" hidden="false" customHeight="false" outlineLevel="0" collapsed="false">
      <c r="A116" s="18" t="s">
        <v>282</v>
      </c>
      <c r="B116" s="18" t="str">
        <f aca="false">INDEX('Raw Data'!$D$2:$D$251,MATCH(A116,'Raw Data'!$C$2:$C$251,0))</f>
        <v>Sandra Phillips</v>
      </c>
      <c r="C116" s="15" t="n">
        <f aca="false">_xlfn.MAXIFS('Raw Data'!$B$2:$B$251,'Raw Data'!$C$2:$C$251,A116)</f>
        <v>45671</v>
      </c>
      <c r="D116" s="21" t="n">
        <f aca="false">SUMIFS('Raw Data'!$N$2:$N$251,'Raw Data'!$C$2:$C$251,A116)</f>
        <v>6349.83</v>
      </c>
      <c r="E116" s="17" t="n">
        <f aca="false">COUNTIF('Raw Data'!$C$2:$C$251,A116)</f>
        <v>5</v>
      </c>
      <c r="F116" s="21" t="n">
        <f aca="false">IFERROR(D116/E116,0)</f>
        <v>1269.966</v>
      </c>
      <c r="G116" s="17" t="n">
        <f aca="false">RANK(D116,$D$85:$D$134)+COUNTIF($D$85:D116,D116)-1</f>
        <v>13</v>
      </c>
      <c r="H116" s="18" t="str">
        <f aca="false">IF(D116&gt;=$B$81,"High Value",IF(D116&gt;=$B$82,"Medium","Low"))</f>
        <v>Medium</v>
      </c>
      <c r="I116" s="18" t="str">
        <f aca="false">UPPER(LEFT(B116,1)&amp;MID(B116,FIND(" ",B116)+1,1))&amp;"-"&amp;RIGHT(A116,3)</f>
        <v>SP-032</v>
      </c>
      <c r="J116" s="18" t="str">
        <f aca="false">IF(E116&gt;1,"Repeat","One-time")</f>
        <v>Repeat</v>
      </c>
    </row>
    <row r="117" customFormat="false" ht="15" hidden="false" customHeight="false" outlineLevel="0" collapsed="false">
      <c r="A117" s="18" t="s">
        <v>240</v>
      </c>
      <c r="B117" s="18" t="str">
        <f aca="false">INDEX('Raw Data'!$D$2:$D$251,MATCH(A117,'Raw Data'!$C$2:$C$251,0))</f>
        <v>Frank Torres</v>
      </c>
      <c r="C117" s="15" t="n">
        <f aca="false">_xlfn.MAXIFS('Raw Data'!$B$2:$B$251,'Raw Data'!$C$2:$C$251,A117)</f>
        <v>45734</v>
      </c>
      <c r="D117" s="21" t="n">
        <f aca="false">SUMIFS('Raw Data'!$N$2:$N$251,'Raw Data'!$C$2:$C$251,A117)</f>
        <v>1479.91</v>
      </c>
      <c r="E117" s="17" t="n">
        <f aca="false">COUNTIF('Raw Data'!$C$2:$C$251,A117)</f>
        <v>5</v>
      </c>
      <c r="F117" s="21" t="n">
        <f aca="false">IFERROR(D117/E117,0)</f>
        <v>295.982</v>
      </c>
      <c r="G117" s="17" t="n">
        <f aca="false">RANK(D117,$D$85:$D$134)+COUNTIF($D$85:D117,D117)-1</f>
        <v>42</v>
      </c>
      <c r="H117" s="18" t="str">
        <f aca="false">IF(D117&gt;=$B$81,"High Value",IF(D117&gt;=$B$82,"Medium","Low"))</f>
        <v>Low</v>
      </c>
      <c r="I117" s="18" t="str">
        <f aca="false">UPPER(LEFT(B117,1)&amp;MID(B117,FIND(" ",B117)+1,1))&amp;"-"&amp;RIGHT(A117,3)</f>
        <v>FT-033</v>
      </c>
      <c r="J117" s="18" t="str">
        <f aca="false">IF(E117&gt;1,"Repeat","One-time")</f>
        <v>Repeat</v>
      </c>
    </row>
    <row r="118" customFormat="false" ht="15" hidden="false" customHeight="false" outlineLevel="0" collapsed="false">
      <c r="A118" s="18" t="s">
        <v>279</v>
      </c>
      <c r="B118" s="18" t="str">
        <f aca="false">INDEX('Raw Data'!$D$2:$D$251,MATCH(A118,'Raw Data'!$C$2:$C$251,0))</f>
        <v>Carol Evans</v>
      </c>
      <c r="C118" s="15" t="n">
        <f aca="false">_xlfn.MAXIFS('Raw Data'!$B$2:$B$251,'Raw Data'!$C$2:$C$251,A118)</f>
        <v>45573</v>
      </c>
      <c r="D118" s="21" t="n">
        <f aca="false">SUMIFS('Raw Data'!$N$2:$N$251,'Raw Data'!$C$2:$C$251,A118)</f>
        <v>1149.93</v>
      </c>
      <c r="E118" s="17" t="n">
        <f aca="false">COUNTIF('Raw Data'!$C$2:$C$251,A118)</f>
        <v>3</v>
      </c>
      <c r="F118" s="21" t="n">
        <f aca="false">IFERROR(D118/E118,0)</f>
        <v>383.31</v>
      </c>
      <c r="G118" s="17" t="n">
        <f aca="false">RANK(D118,$D$85:$D$134)+COUNTIF($D$85:D118,D118)-1</f>
        <v>45</v>
      </c>
      <c r="H118" s="18" t="str">
        <f aca="false">IF(D118&gt;=$B$81,"High Value",IF(D118&gt;=$B$82,"Medium","Low"))</f>
        <v>Low</v>
      </c>
      <c r="I118" s="18" t="str">
        <f aca="false">UPPER(LEFT(B118,1)&amp;MID(B118,FIND(" ",B118)+1,1))&amp;"-"&amp;RIGHT(A118,3)</f>
        <v>CE-034</v>
      </c>
      <c r="J118" s="18" t="str">
        <f aca="false">IF(E118&gt;1,"Repeat","One-time")</f>
        <v>Repeat</v>
      </c>
    </row>
    <row r="119" customFormat="false" ht="15" hidden="false" customHeight="false" outlineLevel="0" collapsed="false">
      <c r="A119" s="18" t="s">
        <v>192</v>
      </c>
      <c r="B119" s="18" t="str">
        <f aca="false">INDEX('Raw Data'!$D$2:$D$251,MATCH(A119,'Raw Data'!$C$2:$C$251,0))</f>
        <v>Harry Morgan</v>
      </c>
      <c r="C119" s="15" t="n">
        <f aca="false">_xlfn.MAXIFS('Raw Data'!$B$2:$B$251,'Raw Data'!$C$2:$C$251,A119)</f>
        <v>45726</v>
      </c>
      <c r="D119" s="21" t="n">
        <f aca="false">SUMIFS('Raw Data'!$N$2:$N$251,'Raw Data'!$C$2:$C$251,A119)</f>
        <v>5519.89</v>
      </c>
      <c r="E119" s="17" t="n">
        <f aca="false">COUNTIF('Raw Data'!$C$2:$C$251,A119)</f>
        <v>4</v>
      </c>
      <c r="F119" s="21" t="n">
        <f aca="false">IFERROR(D119/E119,0)</f>
        <v>1379.9725</v>
      </c>
      <c r="G119" s="17" t="n">
        <f aca="false">RANK(D119,$D$85:$D$134)+COUNTIF($D$85:D119,D119)-1</f>
        <v>18</v>
      </c>
      <c r="H119" s="18" t="str">
        <f aca="false">IF(D119&gt;=$B$81,"High Value",IF(D119&gt;=$B$82,"Medium","Low"))</f>
        <v>Medium</v>
      </c>
      <c r="I119" s="18" t="str">
        <f aca="false">UPPER(LEFT(B119,1)&amp;MID(B119,FIND(" ",B119)+1,1))&amp;"-"&amp;RIGHT(A119,3)</f>
        <v>HM-035</v>
      </c>
      <c r="J119" s="18" t="str">
        <f aca="false">IF(E119&gt;1,"Repeat","One-time")</f>
        <v>Repeat</v>
      </c>
    </row>
    <row r="120" customFormat="false" ht="15" hidden="false" customHeight="false" outlineLevel="0" collapsed="false">
      <c r="A120" s="18" t="s">
        <v>156</v>
      </c>
      <c r="B120" s="18" t="str">
        <f aca="false">INDEX('Raw Data'!$D$2:$D$251,MATCH(A120,'Raw Data'!$C$2:$C$251,0))</f>
        <v>Nancy Collins</v>
      </c>
      <c r="C120" s="15" t="n">
        <f aca="false">_xlfn.MAXIFS('Raw Data'!$B$2:$B$251,'Raw Data'!$C$2:$C$251,A120)</f>
        <v>45701</v>
      </c>
      <c r="D120" s="21" t="n">
        <f aca="false">SUMIFS('Raw Data'!$N$2:$N$251,'Raw Data'!$C$2:$C$251,A120)</f>
        <v>4189.77</v>
      </c>
      <c r="E120" s="17" t="n">
        <f aca="false">COUNTIF('Raw Data'!$C$2:$C$251,A120)</f>
        <v>6</v>
      </c>
      <c r="F120" s="21" t="n">
        <f aca="false">IFERROR(D120/E120,0)</f>
        <v>698.295</v>
      </c>
      <c r="G120" s="17" t="n">
        <f aca="false">RANK(D120,$D$85:$D$134)+COUNTIF($D$85:D120,D120)-1</f>
        <v>27</v>
      </c>
      <c r="H120" s="18" t="str">
        <f aca="false">IF(D120&gt;=$B$81,"High Value",IF(D120&gt;=$B$82,"Medium","Low"))</f>
        <v>Low</v>
      </c>
      <c r="I120" s="18" t="str">
        <f aca="false">UPPER(LEFT(B120,1)&amp;MID(B120,FIND(" ",B120)+1,1))&amp;"-"&amp;RIGHT(A120,3)</f>
        <v>NC-036</v>
      </c>
      <c r="J120" s="18" t="str">
        <f aca="false">IF(E120&gt;1,"Repeat","One-time")</f>
        <v>Repeat</v>
      </c>
    </row>
    <row r="121" customFormat="false" ht="15" hidden="false" customHeight="false" outlineLevel="0" collapsed="false">
      <c r="A121" s="18" t="s">
        <v>373</v>
      </c>
      <c r="B121" s="18" t="str">
        <f aca="false">INDEX('Raw Data'!$D$2:$D$251,MATCH(A121,'Raw Data'!$C$2:$C$251,0))</f>
        <v>Arthur Edwards</v>
      </c>
      <c r="C121" s="15" t="n">
        <f aca="false">_xlfn.MAXIFS('Raw Data'!$B$2:$B$251,'Raw Data'!$C$2:$C$251,A121)</f>
        <v>45711</v>
      </c>
      <c r="D121" s="21" t="n">
        <f aca="false">SUMIFS('Raw Data'!$N$2:$N$251,'Raw Data'!$C$2:$C$251,A121)</f>
        <v>1559.94</v>
      </c>
      <c r="E121" s="17" t="n">
        <f aca="false">COUNTIF('Raw Data'!$C$2:$C$251,A121)</f>
        <v>3</v>
      </c>
      <c r="F121" s="21" t="n">
        <f aca="false">IFERROR(D121/E121,0)</f>
        <v>519.98</v>
      </c>
      <c r="G121" s="17" t="n">
        <f aca="false">RANK(D121,$D$85:$D$134)+COUNTIF($D$85:D121,D121)-1</f>
        <v>41</v>
      </c>
      <c r="H121" s="18" t="str">
        <f aca="false">IF(D121&gt;=$B$81,"High Value",IF(D121&gt;=$B$82,"Medium","Low"))</f>
        <v>Low</v>
      </c>
      <c r="I121" s="18" t="str">
        <f aca="false">UPPER(LEFT(B121,1)&amp;MID(B121,FIND(" ",B121)+1,1))&amp;"-"&amp;RIGHT(A121,3)</f>
        <v>AE-037</v>
      </c>
      <c r="J121" s="18" t="str">
        <f aca="false">IF(E121&gt;1,"Repeat","One-time")</f>
        <v>Repeat</v>
      </c>
    </row>
    <row r="122" customFormat="false" ht="15" hidden="false" customHeight="false" outlineLevel="0" collapsed="false">
      <c r="A122" s="18" t="s">
        <v>126</v>
      </c>
      <c r="B122" s="18" t="str">
        <f aca="false">INDEX('Raw Data'!$D$2:$D$251,MATCH(A122,'Raw Data'!$C$2:$C$251,0))</f>
        <v>Michelle Rogers</v>
      </c>
      <c r="C122" s="15" t="n">
        <f aca="false">_xlfn.MAXIFS('Raw Data'!$B$2:$B$251,'Raw Data'!$C$2:$C$251,A122)</f>
        <v>45668</v>
      </c>
      <c r="D122" s="21" t="n">
        <f aca="false">SUMIFS('Raw Data'!$N$2:$N$251,'Raw Data'!$C$2:$C$251,A122)</f>
        <v>4199.94</v>
      </c>
      <c r="E122" s="17" t="n">
        <f aca="false">COUNTIF('Raw Data'!$C$2:$C$251,A122)</f>
        <v>2</v>
      </c>
      <c r="F122" s="21" t="n">
        <f aca="false">IFERROR(D122/E122,0)</f>
        <v>2099.97</v>
      </c>
      <c r="G122" s="17" t="n">
        <f aca="false">RANK(D122,$D$85:$D$134)+COUNTIF($D$85:D122,D122)-1</f>
        <v>26</v>
      </c>
      <c r="H122" s="18" t="str">
        <f aca="false">IF(D122&gt;=$B$81,"High Value",IF(D122&gt;=$B$82,"Medium","Low"))</f>
        <v>Low</v>
      </c>
      <c r="I122" s="18" t="str">
        <f aca="false">UPPER(LEFT(B122,1)&amp;MID(B122,FIND(" ",B122)+1,1))&amp;"-"&amp;RIGHT(A122,3)</f>
        <v>MR-038</v>
      </c>
      <c r="J122" s="18" t="str">
        <f aca="false">IF(E122&gt;1,"Repeat","One-time")</f>
        <v>Repeat</v>
      </c>
    </row>
    <row r="123" customFormat="false" ht="15" hidden="false" customHeight="false" outlineLevel="0" collapsed="false">
      <c r="A123" s="18" t="s">
        <v>274</v>
      </c>
      <c r="B123" s="18" t="str">
        <f aca="false">INDEX('Raw Data'!$D$2:$D$251,MATCH(A123,'Raw Data'!$C$2:$C$251,0))</f>
        <v>Lawrence Reed</v>
      </c>
      <c r="C123" s="15" t="n">
        <f aca="false">_xlfn.MAXIFS('Raw Data'!$B$2:$B$251,'Raw Data'!$C$2:$C$251,A123)</f>
        <v>45758</v>
      </c>
      <c r="D123" s="21" t="n">
        <f aca="false">SUMIFS('Raw Data'!$N$2:$N$251,'Raw Data'!$C$2:$C$251,A123)</f>
        <v>6989.77</v>
      </c>
      <c r="E123" s="17" t="n">
        <f aca="false">COUNTIF('Raw Data'!$C$2:$C$251,A123)</f>
        <v>8</v>
      </c>
      <c r="F123" s="21" t="n">
        <f aca="false">IFERROR(D123/E123,0)</f>
        <v>873.72125</v>
      </c>
      <c r="G123" s="17" t="n">
        <f aca="false">RANK(D123,$D$85:$D$134)+COUNTIF($D$85:D123,D123)-1</f>
        <v>9</v>
      </c>
      <c r="H123" s="18" t="str">
        <f aca="false">IF(D123&gt;=$B$81,"High Value",IF(D123&gt;=$B$82,"Medium","Low"))</f>
        <v>High Value</v>
      </c>
      <c r="I123" s="18" t="str">
        <f aca="false">UPPER(LEFT(B123,1)&amp;MID(B123,FIND(" ",B123)+1,1))&amp;"-"&amp;RIGHT(A123,3)</f>
        <v>LR-039</v>
      </c>
      <c r="J123" s="18" t="str">
        <f aca="false">IF(E123&gt;1,"Repeat","One-time")</f>
        <v>Repeat</v>
      </c>
    </row>
    <row r="124" customFormat="false" ht="15" hidden="false" customHeight="false" outlineLevel="0" collapsed="false">
      <c r="A124" s="18" t="s">
        <v>199</v>
      </c>
      <c r="B124" s="18" t="str">
        <f aca="false">INDEX('Raw Data'!$D$2:$D$251,MATCH(A124,'Raw Data'!$C$2:$C$251,0))</f>
        <v>Sharon Butler</v>
      </c>
      <c r="C124" s="15" t="n">
        <f aca="false">_xlfn.MAXIFS('Raw Data'!$B$2:$B$251,'Raw Data'!$C$2:$C$251,A124)</f>
        <v>45737</v>
      </c>
      <c r="D124" s="21" t="n">
        <f aca="false">SUMIFS('Raw Data'!$N$2:$N$251,'Raw Data'!$C$2:$C$251,A124)</f>
        <v>5619.87</v>
      </c>
      <c r="E124" s="17" t="n">
        <f aca="false">COUNTIF('Raw Data'!$C$2:$C$251,A124)</f>
        <v>6</v>
      </c>
      <c r="F124" s="21" t="n">
        <f aca="false">IFERROR(D124/E124,0)</f>
        <v>936.645</v>
      </c>
      <c r="G124" s="17" t="n">
        <f aca="false">RANK(D124,$D$85:$D$134)+COUNTIF($D$85:D124,D124)-1</f>
        <v>17</v>
      </c>
      <c r="H124" s="18" t="str">
        <f aca="false">IF(D124&gt;=$B$81,"High Value",IF(D124&gt;=$B$82,"Medium","Low"))</f>
        <v>Medium</v>
      </c>
      <c r="I124" s="18" t="str">
        <f aca="false">UPPER(LEFT(B124,1)&amp;MID(B124,FIND(" ",B124)+1,1))&amp;"-"&amp;RIGHT(A124,3)</f>
        <v>SB-040</v>
      </c>
      <c r="J124" s="18" t="str">
        <f aca="false">IF(E124&gt;1,"Repeat","One-time")</f>
        <v>Repeat</v>
      </c>
    </row>
    <row r="125" customFormat="false" ht="15" hidden="false" customHeight="false" outlineLevel="0" collapsed="false">
      <c r="A125" s="18" t="s">
        <v>120</v>
      </c>
      <c r="B125" s="18" t="str">
        <f aca="false">INDEX('Raw Data'!$D$2:$D$251,MATCH(A125,'Raw Data'!$C$2:$C$251,0))</f>
        <v>Peter Richardson</v>
      </c>
      <c r="C125" s="15" t="n">
        <f aca="false">_xlfn.MAXIFS('Raw Data'!$B$2:$B$251,'Raw Data'!$C$2:$C$251,A125)</f>
        <v>45638</v>
      </c>
      <c r="D125" s="21" t="n">
        <f aca="false">SUMIFS('Raw Data'!$N$2:$N$251,'Raw Data'!$C$2:$C$251,A125)</f>
        <v>5949.85</v>
      </c>
      <c r="E125" s="17" t="n">
        <f aca="false">COUNTIF('Raw Data'!$C$2:$C$251,A125)</f>
        <v>5</v>
      </c>
      <c r="F125" s="21" t="n">
        <f aca="false">IFERROR(D125/E125,0)</f>
        <v>1189.97</v>
      </c>
      <c r="G125" s="17" t="n">
        <f aca="false">RANK(D125,$D$85:$D$134)+COUNTIF($D$85:D125,D125)-1</f>
        <v>15</v>
      </c>
      <c r="H125" s="18" t="str">
        <f aca="false">IF(D125&gt;=$B$81,"High Value",IF(D125&gt;=$B$82,"Medium","Low"))</f>
        <v>Medium</v>
      </c>
      <c r="I125" s="18" t="str">
        <f aca="false">UPPER(LEFT(B125,1)&amp;MID(B125,FIND(" ",B125)+1,1))&amp;"-"&amp;RIGHT(A125,3)</f>
        <v>PR-041</v>
      </c>
      <c r="J125" s="18" t="str">
        <f aca="false">IF(E125&gt;1,"Repeat","One-time")</f>
        <v>Repeat</v>
      </c>
    </row>
    <row r="126" customFormat="false" ht="15" hidden="false" customHeight="false" outlineLevel="0" collapsed="false">
      <c r="A126" s="18" t="s">
        <v>294</v>
      </c>
      <c r="B126" s="18" t="str">
        <f aca="false">INDEX('Raw Data'!$D$2:$D$251,MATCH(A126,'Raw Data'!$C$2:$C$251,0))</f>
        <v>Ruth Brooks</v>
      </c>
      <c r="C126" s="15" t="n">
        <f aca="false">_xlfn.MAXIFS('Raw Data'!$B$2:$B$251,'Raw Data'!$C$2:$C$251,A126)</f>
        <v>45711</v>
      </c>
      <c r="D126" s="21" t="n">
        <f aca="false">SUMIFS('Raw Data'!$N$2:$N$251,'Raw Data'!$C$2:$C$251,A126)</f>
        <v>1749.92</v>
      </c>
      <c r="E126" s="17" t="n">
        <f aca="false">COUNTIF('Raw Data'!$C$2:$C$251,A126)</f>
        <v>3</v>
      </c>
      <c r="F126" s="21" t="n">
        <f aca="false">IFERROR(D126/E126,0)</f>
        <v>583.306666666667</v>
      </c>
      <c r="G126" s="17" t="n">
        <f aca="false">RANK(D126,$D$85:$D$134)+COUNTIF($D$85:D126,D126)-1</f>
        <v>40</v>
      </c>
      <c r="H126" s="18" t="str">
        <f aca="false">IF(D126&gt;=$B$81,"High Value",IF(D126&gt;=$B$82,"Medium","Low"))</f>
        <v>Low</v>
      </c>
      <c r="I126" s="18" t="str">
        <f aca="false">UPPER(LEFT(B126,1)&amp;MID(B126,FIND(" ",B126)+1,1))&amp;"-"&amp;RIGHT(A126,3)</f>
        <v>RB-042</v>
      </c>
      <c r="J126" s="18" t="str">
        <f aca="false">IF(E126&gt;1,"Repeat","One-time")</f>
        <v>Repeat</v>
      </c>
    </row>
    <row r="127" customFormat="false" ht="15" hidden="false" customHeight="false" outlineLevel="0" collapsed="false">
      <c r="A127" s="18" t="s">
        <v>123</v>
      </c>
      <c r="B127" s="18" t="str">
        <f aca="false">INDEX('Raw Data'!$D$2:$D$251,MATCH(A127,'Raw Data'!$C$2:$C$251,0))</f>
        <v>Dennis Gray</v>
      </c>
      <c r="C127" s="15" t="n">
        <f aca="false">_xlfn.MAXIFS('Raw Data'!$B$2:$B$251,'Raw Data'!$C$2:$C$251,A127)</f>
        <v>45721</v>
      </c>
      <c r="D127" s="21" t="n">
        <f aca="false">SUMIFS('Raw Data'!$N$2:$N$251,'Raw Data'!$C$2:$C$251,A127)</f>
        <v>479.92</v>
      </c>
      <c r="E127" s="17" t="n">
        <f aca="false">COUNTIF('Raw Data'!$C$2:$C$251,A127)</f>
        <v>2</v>
      </c>
      <c r="F127" s="21" t="n">
        <f aca="false">IFERROR(D127/E127,0)</f>
        <v>239.96</v>
      </c>
      <c r="G127" s="17" t="n">
        <f aca="false">RANK(D127,$D$85:$D$134)+COUNTIF($D$85:D127,D127)-1</f>
        <v>48</v>
      </c>
      <c r="H127" s="18" t="str">
        <f aca="false">IF(D127&gt;=$B$81,"High Value",IF(D127&gt;=$B$82,"Medium","Low"))</f>
        <v>Low</v>
      </c>
      <c r="I127" s="18" t="str">
        <f aca="false">UPPER(LEFT(B127,1)&amp;MID(B127,FIND(" ",B127)+1,1))&amp;"-"&amp;RIGHT(A127,3)</f>
        <v>DG-043</v>
      </c>
      <c r="J127" s="18" t="str">
        <f aca="false">IF(E127&gt;1,"Repeat","One-time")</f>
        <v>Repeat</v>
      </c>
    </row>
    <row r="128" customFormat="false" ht="15" hidden="false" customHeight="false" outlineLevel="0" collapsed="false">
      <c r="A128" s="18" t="s">
        <v>150</v>
      </c>
      <c r="B128" s="18" t="str">
        <f aca="false">INDEX('Raw Data'!$D$2:$D$251,MATCH(A128,'Raw Data'!$C$2:$C$251,0))</f>
        <v>Cynthia Price</v>
      </c>
      <c r="C128" s="15" t="n">
        <f aca="false">_xlfn.MAXIFS('Raw Data'!$B$2:$B$251,'Raw Data'!$C$2:$C$251,A128)</f>
        <v>45748</v>
      </c>
      <c r="D128" s="21" t="n">
        <f aca="false">SUMIFS('Raw Data'!$N$2:$N$251,'Raw Data'!$C$2:$C$251,A128)</f>
        <v>3769.83</v>
      </c>
      <c r="E128" s="17" t="n">
        <f aca="false">COUNTIF('Raw Data'!$C$2:$C$251,A128)</f>
        <v>5</v>
      </c>
      <c r="F128" s="21" t="n">
        <f aca="false">IFERROR(D128/E128,0)</f>
        <v>753.966</v>
      </c>
      <c r="G128" s="17" t="n">
        <f aca="false">RANK(D128,$D$85:$D$134)+COUNTIF($D$85:D128,D128)-1</f>
        <v>29</v>
      </c>
      <c r="H128" s="18" t="str">
        <f aca="false">IF(D128&gt;=$B$81,"High Value",IF(D128&gt;=$B$82,"Medium","Low"))</f>
        <v>Low</v>
      </c>
      <c r="I128" s="18" t="str">
        <f aca="false">UPPER(LEFT(B128,1)&amp;MID(B128,FIND(" ",B128)+1,1))&amp;"-"&amp;RIGHT(A128,3)</f>
        <v>CP-044</v>
      </c>
      <c r="J128" s="18" t="str">
        <f aca="false">IF(E128&gt;1,"Repeat","One-time")</f>
        <v>Repeat</v>
      </c>
    </row>
    <row r="129" customFormat="false" ht="15" hidden="false" customHeight="false" outlineLevel="0" collapsed="false">
      <c r="A129" s="18" t="s">
        <v>341</v>
      </c>
      <c r="B129" s="18" t="str">
        <f aca="false">INDEX('Raw Data'!$D$2:$D$251,MATCH(A129,'Raw Data'!$C$2:$C$251,0))</f>
        <v>Douglas Watson</v>
      </c>
      <c r="C129" s="15" t="n">
        <f aca="false">_xlfn.MAXIFS('Raw Data'!$B$2:$B$251,'Raw Data'!$C$2:$C$251,A129)</f>
        <v>45758</v>
      </c>
      <c r="D129" s="21" t="n">
        <f aca="false">SUMIFS('Raw Data'!$N$2:$N$251,'Raw Data'!$C$2:$C$251,A129)</f>
        <v>4829.89</v>
      </c>
      <c r="E129" s="17" t="n">
        <f aca="false">COUNTIF('Raw Data'!$C$2:$C$251,A129)</f>
        <v>4</v>
      </c>
      <c r="F129" s="21" t="n">
        <f aca="false">IFERROR(D129/E129,0)</f>
        <v>1207.4725</v>
      </c>
      <c r="G129" s="17" t="n">
        <f aca="false">RANK(D129,$D$85:$D$134)+COUNTIF($D$85:D129,D129)-1</f>
        <v>21</v>
      </c>
      <c r="H129" s="18" t="str">
        <f aca="false">IF(D129&gt;=$B$81,"High Value",IF(D129&gt;=$B$82,"Medium","Low"))</f>
        <v>Medium</v>
      </c>
      <c r="I129" s="18" t="str">
        <f aca="false">UPPER(LEFT(B129,1)&amp;MID(B129,FIND(" ",B129)+1,1))&amp;"-"&amp;RIGHT(A129,3)</f>
        <v>DW-045</v>
      </c>
      <c r="J129" s="18" t="str">
        <f aca="false">IF(E129&gt;1,"Repeat","One-time")</f>
        <v>Repeat</v>
      </c>
    </row>
    <row r="130" customFormat="false" ht="15" hidden="false" customHeight="false" outlineLevel="0" collapsed="false">
      <c r="A130" s="18" t="s">
        <v>86</v>
      </c>
      <c r="B130" s="18" t="str">
        <f aca="false">INDEX('Raw Data'!$D$2:$D$251,MATCH(A130,'Raw Data'!$C$2:$C$251,0))</f>
        <v>Kathleen Bennett</v>
      </c>
      <c r="C130" s="15" t="n">
        <f aca="false">_xlfn.MAXIFS('Raw Data'!$B$2:$B$251,'Raw Data'!$C$2:$C$251,A130)</f>
        <v>45588</v>
      </c>
      <c r="D130" s="21" t="n">
        <f aca="false">SUMIFS('Raw Data'!$N$2:$N$251,'Raw Data'!$C$2:$C$251,A130)</f>
        <v>4309.81</v>
      </c>
      <c r="E130" s="17" t="n">
        <f aca="false">COUNTIF('Raw Data'!$C$2:$C$251,A130)</f>
        <v>6</v>
      </c>
      <c r="F130" s="21" t="n">
        <f aca="false">IFERROR(D130/E130,0)</f>
        <v>718.301666666667</v>
      </c>
      <c r="G130" s="17" t="n">
        <f aca="false">RANK(D130,$D$85:$D$134)+COUNTIF($D$85:D130,D130)-1</f>
        <v>25</v>
      </c>
      <c r="H130" s="18" t="str">
        <f aca="false">IF(D130&gt;=$B$81,"High Value",IF(D130&gt;=$B$82,"Medium","Low"))</f>
        <v>Medium</v>
      </c>
      <c r="I130" s="18" t="str">
        <f aca="false">UPPER(LEFT(B130,1)&amp;MID(B130,FIND(" ",B130)+1,1))&amp;"-"&amp;RIGHT(A130,3)</f>
        <v>KB-046</v>
      </c>
      <c r="J130" s="18" t="str">
        <f aca="false">IF(E130&gt;1,"Repeat","One-time")</f>
        <v>Repeat</v>
      </c>
    </row>
    <row r="131" customFormat="false" ht="15" hidden="false" customHeight="false" outlineLevel="0" collapsed="false">
      <c r="A131" s="18" t="s">
        <v>244</v>
      </c>
      <c r="B131" s="18" t="str">
        <f aca="false">INDEX('Raw Data'!$D$2:$D$251,MATCH(A131,'Raw Data'!$C$2:$C$251,0))</f>
        <v>Gerald Murphy</v>
      </c>
      <c r="C131" s="15" t="n">
        <f aca="false">_xlfn.MAXIFS('Raw Data'!$B$2:$B$251,'Raw Data'!$C$2:$C$251,A131)</f>
        <v>45532</v>
      </c>
      <c r="D131" s="21" t="n">
        <f aca="false">SUMIFS('Raw Data'!$N$2:$N$251,'Raw Data'!$C$2:$C$251,A131)</f>
        <v>6379.87</v>
      </c>
      <c r="E131" s="17" t="n">
        <f aca="false">COUNTIF('Raw Data'!$C$2:$C$251,A131)</f>
        <v>4</v>
      </c>
      <c r="F131" s="21" t="n">
        <f aca="false">IFERROR(D131/E131,0)</f>
        <v>1594.9675</v>
      </c>
      <c r="G131" s="17" t="n">
        <f aca="false">RANK(D131,$D$85:$D$134)+COUNTIF($D$85:D131,D131)-1</f>
        <v>12</v>
      </c>
      <c r="H131" s="18" t="str">
        <f aca="false">IF(D131&gt;=$B$81,"High Value",IF(D131&gt;=$B$82,"Medium","Low"))</f>
        <v>Medium</v>
      </c>
      <c r="I131" s="18" t="str">
        <f aca="false">UPPER(LEFT(B131,1)&amp;MID(B131,FIND(" ",B131)+1,1))&amp;"-"&amp;RIGHT(A131,3)</f>
        <v>GM-047</v>
      </c>
      <c r="J131" s="18" t="str">
        <f aca="false">IF(E131&gt;1,"Repeat","One-time")</f>
        <v>Repeat</v>
      </c>
    </row>
    <row r="132" customFormat="false" ht="15" hidden="false" customHeight="false" outlineLevel="0" collapsed="false">
      <c r="A132" s="18" t="s">
        <v>141</v>
      </c>
      <c r="B132" s="18" t="str">
        <f aca="false">INDEX('Raw Data'!$D$2:$D$251,MATCH(A132,'Raw Data'!$C$2:$C$251,0))</f>
        <v>Virginia Sanders</v>
      </c>
      <c r="C132" s="15" t="n">
        <f aca="false">_xlfn.MAXIFS('Raw Data'!$B$2:$B$251,'Raw Data'!$C$2:$C$251,A132)</f>
        <v>45755</v>
      </c>
      <c r="D132" s="21" t="n">
        <f aca="false">SUMIFS('Raw Data'!$N$2:$N$251,'Raw Data'!$C$2:$C$251,A132)</f>
        <v>4789.79</v>
      </c>
      <c r="E132" s="17" t="n">
        <f aca="false">COUNTIF('Raw Data'!$C$2:$C$251,A132)</f>
        <v>6</v>
      </c>
      <c r="F132" s="21" t="n">
        <f aca="false">IFERROR(D132/E132,0)</f>
        <v>798.298333333333</v>
      </c>
      <c r="G132" s="17" t="n">
        <f aca="false">RANK(D132,$D$85:$D$134)+COUNTIF($D$85:D132,D132)-1</f>
        <v>22</v>
      </c>
      <c r="H132" s="18" t="str">
        <f aca="false">IF(D132&gt;=$B$81,"High Value",IF(D132&gt;=$B$82,"Medium","Low"))</f>
        <v>Medium</v>
      </c>
      <c r="I132" s="18" t="str">
        <f aca="false">UPPER(LEFT(B132,1)&amp;MID(B132,FIND(" ",B132)+1,1))&amp;"-"&amp;RIGHT(A132,3)</f>
        <v>VS-048</v>
      </c>
      <c r="J132" s="18" t="str">
        <f aca="false">IF(E132&gt;1,"Repeat","One-time")</f>
        <v>Repeat</v>
      </c>
    </row>
    <row r="133" customFormat="false" ht="15" hidden="false" customHeight="false" outlineLevel="0" collapsed="false">
      <c r="A133" s="18" t="s">
        <v>219</v>
      </c>
      <c r="B133" s="18" t="str">
        <f aca="false">INDEX('Raw Data'!$D$2:$D$251,MATCH(A133,'Raw Data'!$C$2:$C$251,0))</f>
        <v>Raymond Ross</v>
      </c>
      <c r="C133" s="15" t="n">
        <f aca="false">_xlfn.MAXIFS('Raw Data'!$B$2:$B$251,'Raw Data'!$C$2:$C$251,A133)</f>
        <v>45592</v>
      </c>
      <c r="D133" s="21" t="n">
        <f aca="false">SUMIFS('Raw Data'!$N$2:$N$251,'Raw Data'!$C$2:$C$251,A133)</f>
        <v>3669.85</v>
      </c>
      <c r="E133" s="17" t="n">
        <f aca="false">COUNTIF('Raw Data'!$C$2:$C$251,A133)</f>
        <v>4</v>
      </c>
      <c r="F133" s="21" t="n">
        <f aca="false">IFERROR(D133/E133,0)</f>
        <v>917.4625</v>
      </c>
      <c r="G133" s="17" t="n">
        <f aca="false">RANK(D133,$D$85:$D$134)+COUNTIF($D$85:D133,D133)-1</f>
        <v>30</v>
      </c>
      <c r="H133" s="18" t="str">
        <f aca="false">IF(D133&gt;=$B$81,"High Value",IF(D133&gt;=$B$82,"Medium","Low"))</f>
        <v>Low</v>
      </c>
      <c r="I133" s="18" t="str">
        <f aca="false">UPPER(LEFT(B133,1)&amp;MID(B133,FIND(" ",B133)+1,1))&amp;"-"&amp;RIGHT(A133,3)</f>
        <v>RR-049</v>
      </c>
      <c r="J133" s="18" t="str">
        <f aca="false">IF(E133&gt;1,"Repeat","One-time")</f>
        <v>Repeat</v>
      </c>
    </row>
    <row r="134" customFormat="false" ht="15" hidden="false" customHeight="false" outlineLevel="0" collapsed="false">
      <c r="A134" s="18" t="s">
        <v>210</v>
      </c>
      <c r="B134" s="18" t="str">
        <f aca="false">INDEX('Raw Data'!$D$2:$D$251,MATCH(A134,'Raw Data'!$C$2:$C$251,0))</f>
        <v>Julie Foster</v>
      </c>
      <c r="C134" s="15" t="n">
        <f aca="false">_xlfn.MAXIFS('Raw Data'!$B$2:$B$251,'Raw Data'!$C$2:$C$251,A134)</f>
        <v>45452</v>
      </c>
      <c r="D134" s="21" t="n">
        <f aca="false">SUMIFS('Raw Data'!$N$2:$N$251,'Raw Data'!$C$2:$C$251,A134)</f>
        <v>239.96</v>
      </c>
      <c r="E134" s="17" t="n">
        <f aca="false">COUNTIF('Raw Data'!$C$2:$C$251,A134)</f>
        <v>1</v>
      </c>
      <c r="F134" s="21" t="n">
        <f aca="false">IFERROR(D134/E134,0)</f>
        <v>239.96</v>
      </c>
      <c r="G134" s="17" t="n">
        <f aca="false">RANK(D134,$D$85:$D$134)+COUNTIF($D$85:D134,D134)-1</f>
        <v>49</v>
      </c>
      <c r="H134" s="18" t="str">
        <f aca="false">IF(D134&gt;=$B$81,"High Value",IF(D134&gt;=$B$82,"Medium","Low"))</f>
        <v>Low</v>
      </c>
      <c r="I134" s="18" t="str">
        <f aca="false">UPPER(LEFT(B134,1)&amp;MID(B134,FIND(" ",B134)+1,1))&amp;"-"&amp;RIGHT(A134,3)</f>
        <v>JF-050</v>
      </c>
      <c r="J134" s="18" t="str">
        <f aca="false">IF(E134&gt;1,"Repeat","One-time")</f>
        <v>One-time</v>
      </c>
    </row>
    <row r="136" customFormat="false" ht="15" hidden="false" customHeight="false" outlineLevel="0" collapsed="false">
      <c r="A136" s="14" t="s">
        <v>523</v>
      </c>
    </row>
    <row r="137" customFormat="false" ht="15" hidden="false" customHeight="false" outlineLevel="0" collapsed="false">
      <c r="A137" s="3" t="s">
        <v>519</v>
      </c>
      <c r="B137" s="3" t="s">
        <v>466</v>
      </c>
      <c r="C137" s="3" t="s">
        <v>497</v>
      </c>
      <c r="D137" s="3" t="s">
        <v>520</v>
      </c>
      <c r="E137" s="3" t="s">
        <v>524</v>
      </c>
    </row>
    <row r="138" customFormat="false" ht="15" hidden="false" customHeight="false" outlineLevel="0" collapsed="false">
      <c r="A138" s="18" t="n">
        <v>1</v>
      </c>
      <c r="B138" s="18" t="str">
        <f aca="false">INDEX($B$85:$B$134,MATCH(A138,$G$85:$G$134,0))</f>
        <v>Mark Carter</v>
      </c>
      <c r="C138" s="21" t="n">
        <f aca="false">INDEX($D$85:$D$134,MATCH(A138,$G$85:$G$134,0))</f>
        <v>15659.65</v>
      </c>
      <c r="D138" s="18" t="str">
        <f aca="false">INDEX($H$85:$H$134,MATCH(A138,$G$85:$G$134,0))</f>
        <v>High Value</v>
      </c>
      <c r="E138" s="25" t="n">
        <f aca="false">C138/$B$39</f>
        <v>0.0683253249986791</v>
      </c>
    </row>
    <row r="139" customFormat="false" ht="15" hidden="false" customHeight="false" outlineLevel="0" collapsed="false">
      <c r="A139" s="18" t="n">
        <v>2</v>
      </c>
      <c r="B139" s="18" t="str">
        <f aca="false">INDEX($B$85:$B$134,MATCH(A139,$G$85:$G$134,0))</f>
        <v>Edward Mitchell</v>
      </c>
      <c r="C139" s="21" t="n">
        <f aca="false">INDEX($D$85:$D$134,MATCH(A139,$G$85:$G$134,0))</f>
        <v>11919.77</v>
      </c>
      <c r="D139" s="18" t="str">
        <f aca="false">INDEX($H$85:$H$134,MATCH(A139,$G$85:$G$134,0))</f>
        <v>High Value</v>
      </c>
      <c r="E139" s="25" t="n">
        <f aca="false">C139/$B$39</f>
        <v>0.0520076859418636</v>
      </c>
    </row>
    <row r="140" customFormat="false" ht="15" hidden="false" customHeight="false" outlineLevel="0" collapsed="false">
      <c r="A140" s="18" t="n">
        <v>3</v>
      </c>
      <c r="B140" s="18" t="str">
        <f aca="false">INDEX($B$85:$B$134,MATCH(A140,$G$85:$G$134,0))</f>
        <v>Barbara Young</v>
      </c>
      <c r="C140" s="21" t="n">
        <f aca="false">INDEX($D$85:$D$134,MATCH(A140,$G$85:$G$134,0))</f>
        <v>10649.8</v>
      </c>
      <c r="D140" s="18" t="str">
        <f aca="false">INDEX($H$85:$H$134,MATCH(A140,$G$85:$G$134,0))</f>
        <v>High Value</v>
      </c>
      <c r="E140" s="25" t="n">
        <f aca="false">C140/$B$39</f>
        <v>0.0464666225727224</v>
      </c>
    </row>
    <row r="141" customFormat="false" ht="15" hidden="false" customHeight="false" outlineLevel="0" collapsed="false">
      <c r="A141" s="18" t="n">
        <v>4</v>
      </c>
      <c r="B141" s="18" t="str">
        <f aca="false">INDEX($B$85:$B$134,MATCH(A141,$G$85:$G$134,0))</f>
        <v>Patricia Moore</v>
      </c>
      <c r="C141" s="21" t="n">
        <f aca="false">INDEX($D$85:$D$134,MATCH(A141,$G$85:$G$134,0))</f>
        <v>9799.73</v>
      </c>
      <c r="D141" s="18" t="str">
        <f aca="false">INDEX($H$85:$H$134,MATCH(A141,$G$85:$G$134,0))</f>
        <v>High Value</v>
      </c>
      <c r="E141" s="25" t="n">
        <f aca="false">C141/$B$39</f>
        <v>0.0427576438266056</v>
      </c>
    </row>
    <row r="142" customFormat="false" ht="15" hidden="false" customHeight="false" outlineLevel="0" collapsed="false">
      <c r="A142" s="18" t="n">
        <v>5</v>
      </c>
      <c r="B142" s="18" t="str">
        <f aca="false">INDEX($B$85:$B$134,MATCH(A142,$G$85:$G$134,0))</f>
        <v>Paul Baker</v>
      </c>
      <c r="C142" s="21" t="n">
        <f aca="false">INDEX($D$85:$D$134,MATCH(A142,$G$85:$G$134,0))</f>
        <v>8309.74</v>
      </c>
      <c r="D142" s="18" t="str">
        <f aca="false">INDEX($H$85:$H$134,MATCH(A142,$G$85:$G$134,0))</f>
        <v>High Value</v>
      </c>
      <c r="E142" s="25" t="n">
        <f aca="false">C142/$B$39</f>
        <v>0.0362566012749023</v>
      </c>
    </row>
    <row r="143" customFormat="false" ht="15" hidden="false" customHeight="false" outlineLevel="0" collapsed="false">
      <c r="A143" s="14" t="s">
        <v>525</v>
      </c>
      <c r="B143" s="17" t="n">
        <f aca="false">COUNTIF(H85:H134,"High Value")</f>
        <v>10</v>
      </c>
      <c r="C143" s="14" t="s">
        <v>526</v>
      </c>
      <c r="D143" s="25" t="n">
        <f aca="false">SUMIF(H85:H134,"High Value",D85:D134)/B39</f>
        <v>0.40955821977921</v>
      </c>
    </row>
    <row r="146" customFormat="false" ht="15" hidden="false" customHeight="false" outlineLevel="0" collapsed="false">
      <c r="A146" s="12" t="s">
        <v>527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customFormat="false" ht="23.85" hidden="false" customHeight="false" outlineLevel="0" collapsed="false">
      <c r="A147" s="3" t="s">
        <v>467</v>
      </c>
      <c r="B147" s="3" t="s">
        <v>50</v>
      </c>
      <c r="C147" s="3" t="s">
        <v>528</v>
      </c>
      <c r="D147" s="3" t="s">
        <v>529</v>
      </c>
      <c r="E147" s="3" t="s">
        <v>497</v>
      </c>
      <c r="F147" s="3" t="s">
        <v>530</v>
      </c>
      <c r="G147" s="3" t="s">
        <v>531</v>
      </c>
      <c r="H147" s="3" t="s">
        <v>532</v>
      </c>
    </row>
    <row r="148" customFormat="false" ht="15" hidden="false" customHeight="false" outlineLevel="0" collapsed="false">
      <c r="A148" s="18" t="s">
        <v>80</v>
      </c>
      <c r="B148" s="18" t="str">
        <f aca="false">INDEX('Raw Data'!$G$2:$G$251,MATCH(A148,'Raw Data'!$F$2:$F$251,0))</f>
        <v>Appliances</v>
      </c>
      <c r="C148" s="17" t="n">
        <f aca="false">COUNTIF('Raw Data'!$F$2:$F$251,A148)</f>
        <v>29</v>
      </c>
      <c r="D148" s="17" t="n">
        <f aca="false">SUMIF('Raw Data'!$F$2:$F$251,A148,'Raw Data'!$H$2:$H$251)</f>
        <v>87</v>
      </c>
      <c r="E148" s="21" t="n">
        <f aca="false">SUMIF('Raw Data'!$F$2:$F$251,A148,'Raw Data'!$N$2:$N$251)</f>
        <v>5219.13</v>
      </c>
      <c r="F148" s="25" t="n">
        <f aca="false">E148/SUM($E$148:$E$157)</f>
        <v>0.022771821430259</v>
      </c>
      <c r="G148" s="17" t="n">
        <f aca="false">RANK(E148,$E$148:$E$157)</f>
        <v>9</v>
      </c>
      <c r="H148" s="18" t="str">
        <f aca="false">UPPER(LEFT(A148,3))&amp;"-"&amp;TEXT(ROW()-147,"00")</f>
        <v>BLE-01</v>
      </c>
    </row>
    <row r="149" customFormat="false" ht="15" hidden="false" customHeight="false" outlineLevel="0" collapsed="false">
      <c r="A149" s="18" t="s">
        <v>93</v>
      </c>
      <c r="B149" s="18" t="str">
        <f aca="false">INDEX('Raw Data'!$G$2:$G$251,MATCH(A149,'Raw Data'!$F$2:$F$251,0))</f>
        <v>Furniture</v>
      </c>
      <c r="C149" s="17" t="n">
        <f aca="false">COUNTIF('Raw Data'!$F$2:$F$251,A149)</f>
        <v>35</v>
      </c>
      <c r="D149" s="17" t="n">
        <f aca="false">SUMIF('Raw Data'!$F$2:$F$251,A149,'Raw Data'!$H$2:$H$251)</f>
        <v>102</v>
      </c>
      <c r="E149" s="21" t="n">
        <f aca="false">SUMIF('Raw Data'!$F$2:$F$251,A149,'Raw Data'!$N$2:$N$251)</f>
        <v>15298.98</v>
      </c>
      <c r="F149" s="25" t="n">
        <f aca="false">E149/SUM($E$148:$E$157)</f>
        <v>0.0667516694592977</v>
      </c>
      <c r="G149" s="17" t="n">
        <f aca="false">RANK(E149,$E$148:$E$157)</f>
        <v>5</v>
      </c>
      <c r="H149" s="18" t="str">
        <f aca="false">UPPER(LEFT(A149,3))&amp;"-"&amp;TEXT(ROW()-147,"00")</f>
        <v>BOO-02</v>
      </c>
    </row>
    <row r="150" customFormat="false" ht="15" hidden="false" customHeight="false" outlineLevel="0" collapsed="false">
      <c r="A150" s="18" t="s">
        <v>166</v>
      </c>
      <c r="B150" s="18" t="str">
        <f aca="false">INDEX('Raw Data'!$G$2:$G$251,MATCH(A150,'Raw Data'!$F$2:$F$251,0))</f>
        <v>Appliances</v>
      </c>
      <c r="C150" s="17" t="n">
        <f aca="false">COUNTIF('Raw Data'!$F$2:$F$251,A150)</f>
        <v>14</v>
      </c>
      <c r="D150" s="17" t="n">
        <f aca="false">SUMIF('Raw Data'!$F$2:$F$251,A150,'Raw Data'!$H$2:$H$251)</f>
        <v>39</v>
      </c>
      <c r="E150" s="21" t="n">
        <f aca="false">SUMIF('Raw Data'!$F$2:$F$251,A150,'Raw Data'!$N$2:$N$251)</f>
        <v>3119.61</v>
      </c>
      <c r="F150" s="25" t="n">
        <f aca="false">E150/SUM($E$148:$E$157)</f>
        <v>0.0136113110522348</v>
      </c>
      <c r="G150" s="17" t="n">
        <f aca="false">RANK(E150,$E$148:$E$157)</f>
        <v>10</v>
      </c>
      <c r="H150" s="18" t="str">
        <f aca="false">UPPER(LEFT(A150,3))&amp;"-"&amp;TEXT(ROW()-147,"00")</f>
        <v>COF-03</v>
      </c>
    </row>
    <row r="151" customFormat="false" ht="15" hidden="false" customHeight="false" outlineLevel="0" collapsed="false">
      <c r="A151" s="18" t="s">
        <v>154</v>
      </c>
      <c r="B151" s="18" t="str">
        <f aca="false">INDEX('Raw Data'!$G$2:$G$251,MATCH(A151,'Raw Data'!$F$2:$F$251,0))</f>
        <v>Furniture</v>
      </c>
      <c r="C151" s="17" t="n">
        <f aca="false">COUNTIF('Raw Data'!$F$2:$F$251,A151)</f>
        <v>26</v>
      </c>
      <c r="D151" s="17" t="n">
        <f aca="false">SUMIF('Raw Data'!$F$2:$F$251,A151,'Raw Data'!$H$2:$H$251)</f>
        <v>78</v>
      </c>
      <c r="E151" s="21" t="n">
        <f aca="false">SUMIF('Raw Data'!$F$2:$F$251,A151,'Raw Data'!$N$2:$N$251)</f>
        <v>23399.22</v>
      </c>
      <c r="F151" s="25" t="n">
        <f aca="false">E151/SUM($E$148:$E$157)</f>
        <v>0.102094191837978</v>
      </c>
      <c r="G151" s="17" t="n">
        <f aca="false">RANK(E151,$E$148:$E$157)</f>
        <v>3</v>
      </c>
      <c r="H151" s="18" t="str">
        <f aca="false">UPPER(LEFT(A151,3))&amp;"-"&amp;TEXT(ROW()-147,"00")</f>
        <v>DES-04</v>
      </c>
    </row>
    <row r="152" customFormat="false" ht="15" hidden="false" customHeight="false" outlineLevel="0" collapsed="false">
      <c r="A152" s="18" t="s">
        <v>101</v>
      </c>
      <c r="B152" s="18" t="str">
        <f aca="false">INDEX('Raw Data'!$G$2:$G$251,MATCH(A152,'Raw Data'!$F$2:$F$251,0))</f>
        <v>Electronics</v>
      </c>
      <c r="C152" s="17" t="n">
        <f aca="false">COUNTIF('Raw Data'!$F$2:$F$251,A152)</f>
        <v>16</v>
      </c>
      <c r="D152" s="17" t="n">
        <f aca="false">SUMIF('Raw Data'!$F$2:$F$251,A152,'Raw Data'!$H$2:$H$251)</f>
        <v>47</v>
      </c>
      <c r="E152" s="21" t="n">
        <f aca="false">SUMIF('Raw Data'!$F$2:$F$251,A152,'Raw Data'!$N$2:$N$251)</f>
        <v>7049.53</v>
      </c>
      <c r="F152" s="25" t="n">
        <f aca="false">E152/SUM($E$148:$E$157)</f>
        <v>0.0307581222018333</v>
      </c>
      <c r="G152" s="17" t="n">
        <f aca="false">RANK(E152,$E$148:$E$157)</f>
        <v>8</v>
      </c>
      <c r="H152" s="18" t="str">
        <f aca="false">UPPER(LEFT(A152,3))&amp;"-"&amp;TEXT(ROW()-147,"00")</f>
        <v>HEA-05</v>
      </c>
    </row>
    <row r="153" customFormat="false" ht="15" hidden="false" customHeight="false" outlineLevel="0" collapsed="false">
      <c r="A153" s="18" t="s">
        <v>160</v>
      </c>
      <c r="B153" s="18" t="str">
        <f aca="false">INDEX('Raw Data'!$G$2:$G$251,MATCH(A153,'Raw Data'!$F$2:$F$251,0))</f>
        <v>Electronics</v>
      </c>
      <c r="C153" s="17" t="n">
        <f aca="false">COUNTIF('Raw Data'!$F$2:$F$251,A153)</f>
        <v>34</v>
      </c>
      <c r="D153" s="17" t="n">
        <f aca="false">SUMIF('Raw Data'!$F$2:$F$251,A153,'Raw Data'!$H$2:$H$251)</f>
        <v>89</v>
      </c>
      <c r="E153" s="21" t="n">
        <f aca="false">SUMIF('Raw Data'!$F$2:$F$251,A153,'Raw Data'!$N$2:$N$251)</f>
        <v>8009.11</v>
      </c>
      <c r="F153" s="25" t="n">
        <f aca="false">E153/SUM($E$148:$E$157)</f>
        <v>0.0349449089666864</v>
      </c>
      <c r="G153" s="17" t="n">
        <f aca="false">RANK(E153,$E$148:$E$157)</f>
        <v>7</v>
      </c>
      <c r="H153" s="18" t="str">
        <f aca="false">UPPER(LEFT(A153,3))&amp;"-"&amp;TEXT(ROW()-147,"00")</f>
        <v>KEY-06</v>
      </c>
    </row>
    <row r="154" customFormat="false" ht="15" hidden="false" customHeight="false" outlineLevel="0" collapsed="false">
      <c r="A154" s="18" t="s">
        <v>110</v>
      </c>
      <c r="B154" s="18" t="str">
        <f aca="false">INDEX('Raw Data'!$G$2:$G$251,MATCH(A154,'Raw Data'!$F$2:$F$251,0))</f>
        <v>Electronics</v>
      </c>
      <c r="C154" s="17" t="n">
        <f aca="false">COUNTIF('Raw Data'!$F$2:$F$251,A154)</f>
        <v>24</v>
      </c>
      <c r="D154" s="17" t="n">
        <f aca="false">SUMIF('Raw Data'!$F$2:$F$251,A154,'Raw Data'!$H$2:$H$251)</f>
        <v>75</v>
      </c>
      <c r="E154" s="21" t="n">
        <f aca="false">SUMIF('Raw Data'!$F$2:$F$251,A154,'Raw Data'!$N$2:$N$251)</f>
        <v>67499.25</v>
      </c>
      <c r="F154" s="25" t="n">
        <f aca="false">E154/SUM($E$148:$E$157)</f>
        <v>0.29450902117334</v>
      </c>
      <c r="G154" s="17" t="n">
        <f aca="false">RANK(E154,$E$148:$E$157)</f>
        <v>1</v>
      </c>
      <c r="H154" s="18" t="str">
        <f aca="false">UPPER(LEFT(A154,3))&amp;"-"&amp;TEXT(ROW()-147,"00")</f>
        <v>LAP-07</v>
      </c>
    </row>
    <row r="155" customFormat="false" ht="15" hidden="false" customHeight="false" outlineLevel="0" collapsed="false">
      <c r="A155" s="18" t="s">
        <v>66</v>
      </c>
      <c r="B155" s="18" t="str">
        <f aca="false">INDEX('Raw Data'!$G$2:$G$251,MATCH(A155,'Raw Data'!$F$2:$F$251,0))</f>
        <v>Electronics</v>
      </c>
      <c r="C155" s="17" t="n">
        <f aca="false">COUNTIF('Raw Data'!$F$2:$F$251,A155)</f>
        <v>26</v>
      </c>
      <c r="D155" s="17" t="n">
        <f aca="false">SUMIF('Raw Data'!$F$2:$F$251,A155,'Raw Data'!$H$2:$H$251)</f>
        <v>88</v>
      </c>
      <c r="E155" s="21" t="n">
        <f aca="false">SUMIF('Raw Data'!$F$2:$F$251,A155,'Raw Data'!$N$2:$N$251)</f>
        <v>21999.12</v>
      </c>
      <c r="F155" s="25" t="n">
        <f aca="false">E155/SUM($E$148:$E$157)</f>
        <v>0.0959853523983576</v>
      </c>
      <c r="G155" s="17" t="n">
        <f aca="false">RANK(E155,$E$148:$E$157)</f>
        <v>4</v>
      </c>
      <c r="H155" s="18" t="str">
        <f aca="false">UPPER(LEFT(A155,3))&amp;"-"&amp;TEXT(ROW()-147,"00")</f>
        <v>MON-08</v>
      </c>
    </row>
    <row r="156" customFormat="false" ht="15" hidden="false" customHeight="false" outlineLevel="0" collapsed="false">
      <c r="A156" s="18" t="s">
        <v>172</v>
      </c>
      <c r="B156" s="18" t="str">
        <f aca="false">INDEX('Raw Data'!$G$2:$G$251,MATCH(A156,'Raw Data'!$F$2:$F$251,0))</f>
        <v>Furniture</v>
      </c>
      <c r="C156" s="17" t="n">
        <f aca="false">COUNTIF('Raw Data'!$F$2:$F$251,A156)</f>
        <v>15</v>
      </c>
      <c r="D156" s="17" t="n">
        <f aca="false">SUMIF('Raw Data'!$F$2:$F$251,A156,'Raw Data'!$H$2:$H$251)</f>
        <v>52</v>
      </c>
      <c r="E156" s="21" t="n">
        <f aca="false">SUMIF('Raw Data'!$F$2:$F$251,A156,'Raw Data'!$N$2:$N$251)</f>
        <v>10399.48</v>
      </c>
      <c r="F156" s="25" t="n">
        <f aca="false">E156/SUM($E$148:$E$157)</f>
        <v>0.0453744400939525</v>
      </c>
      <c r="G156" s="17" t="n">
        <f aca="false">RANK(E156,$E$148:$E$157)</f>
        <v>6</v>
      </c>
      <c r="H156" s="18" t="str">
        <f aca="false">UPPER(LEFT(A156,3))&amp;"-"&amp;TEXT(ROW()-147,"00")</f>
        <v>OFF-09</v>
      </c>
    </row>
    <row r="157" customFormat="false" ht="15" hidden="false" customHeight="false" outlineLevel="0" collapsed="false">
      <c r="A157" s="18" t="s">
        <v>129</v>
      </c>
      <c r="B157" s="18" t="str">
        <f aca="false">INDEX('Raw Data'!$G$2:$G$251,MATCH(A157,'Raw Data'!$F$2:$F$251,0))</f>
        <v>Electronics</v>
      </c>
      <c r="C157" s="17" t="n">
        <f aca="false">COUNTIF('Raw Data'!$F$2:$F$251,A157)</f>
        <v>31</v>
      </c>
      <c r="D157" s="17" t="n">
        <f aca="false">SUMIF('Raw Data'!$F$2:$F$251,A157,'Raw Data'!$H$2:$H$251)</f>
        <v>96</v>
      </c>
      <c r="E157" s="21" t="n">
        <f aca="false">SUMIF('Raw Data'!$F$2:$F$251,A157,'Raw Data'!$N$2:$N$251)</f>
        <v>67199.04</v>
      </c>
      <c r="F157" s="25" t="n">
        <f aca="false">E157/SUM($E$148:$E$157)</f>
        <v>0.293199161386061</v>
      </c>
      <c r="G157" s="17" t="n">
        <f aca="false">RANK(E157,$E$148:$E$157)</f>
        <v>2</v>
      </c>
      <c r="H157" s="18" t="str">
        <f aca="false">UPPER(LEFT(A157,3))&amp;"-"&amp;TEXT(ROW()-147,"00")</f>
        <v>SMA-10</v>
      </c>
    </row>
    <row r="159" customFormat="false" ht="15" hidden="false" customHeight="false" outlineLevel="0" collapsed="false">
      <c r="A159" s="14" t="s">
        <v>533</v>
      </c>
      <c r="B159" s="18" t="str">
        <f aca="false">INDEX(A148:A157,MATCH(MAX(C148:C157),C148:C157,0))</f>
        <v>Bookshelf</v>
      </c>
    </row>
    <row r="160" customFormat="false" ht="15" hidden="false" customHeight="false" outlineLevel="0" collapsed="false">
      <c r="A160" s="14" t="s">
        <v>534</v>
      </c>
      <c r="B160" s="18" t="str">
        <f aca="false">INDEX(A148:A157,MATCH(MAX(D148:D157),D148:D157,0))</f>
        <v>Bookshelf</v>
      </c>
    </row>
    <row r="161" customFormat="false" ht="15" hidden="false" customHeight="false" outlineLevel="0" collapsed="false">
      <c r="A161" s="14" t="s">
        <v>535</v>
      </c>
      <c r="B161" s="18" t="str">
        <f aca="false">INDEX(A148:A157,MATCH(MAX(E148:E157),E148:E157,0))</f>
        <v>Laptop</v>
      </c>
    </row>
    <row r="162" customFormat="false" ht="15" hidden="false" customHeight="false" outlineLevel="0" collapsed="false">
      <c r="A162" s="14" t="s">
        <v>536</v>
      </c>
      <c r="B162" s="18" t="str">
        <f aca="false">INDEX(B85:B134,MATCH(MAX(E85:E134),E85:E134,0))</f>
        <v>Mark Carter</v>
      </c>
    </row>
    <row r="163" customFormat="false" ht="15" hidden="false" customHeight="false" outlineLevel="0" collapsed="false">
      <c r="A163" s="14" t="s">
        <v>537</v>
      </c>
      <c r="B163" s="17" t="n">
        <f aca="false">MAX(E85:E134)</f>
        <v>12</v>
      </c>
    </row>
    <row r="164" customFormat="false" ht="15" hidden="false" customHeight="false" outlineLevel="0" collapsed="false">
      <c r="A164" s="14" t="s">
        <v>538</v>
      </c>
      <c r="B164" s="17" t="n">
        <f aca="false">COUNTIF(J85:J134,"Repeat")</f>
        <v>47</v>
      </c>
      <c r="C164" s="14" t="s">
        <v>539</v>
      </c>
      <c r="D164" s="25" t="n">
        <f aca="false">B164/COUNTA(A85:A134)</f>
        <v>0.94</v>
      </c>
    </row>
    <row r="166" customFormat="false" ht="15" hidden="false" customHeight="false" outlineLevel="0" collapsed="false">
      <c r="A166" s="14" t="s">
        <v>540</v>
      </c>
    </row>
    <row r="167" customFormat="false" ht="15" hidden="false" customHeight="false" outlineLevel="0" collapsed="false">
      <c r="A167" s="3" t="s">
        <v>50</v>
      </c>
      <c r="B167" s="3" t="s">
        <v>517</v>
      </c>
      <c r="C167" s="3" t="s">
        <v>497</v>
      </c>
      <c r="D167" s="3" t="s">
        <v>541</v>
      </c>
    </row>
    <row r="168" customFormat="false" ht="15" hidden="false" customHeight="false" outlineLevel="0" collapsed="false">
      <c r="A168" s="18" t="s">
        <v>81</v>
      </c>
      <c r="B168" s="17" t="n">
        <f aca="false">COUNTIF('Raw Data'!$G$2:$G$251,A168)</f>
        <v>43</v>
      </c>
      <c r="C168" s="21" t="n">
        <f aca="false">SUMIF('Raw Data'!$G$2:$G$251,A168,'Raw Data'!$N$2:$N$251)</f>
        <v>8338.74</v>
      </c>
      <c r="D168" s="25" t="n">
        <f aca="false">C168/$C$171</f>
        <v>0.0363831324824939</v>
      </c>
    </row>
    <row r="169" customFormat="false" ht="15" hidden="false" customHeight="false" outlineLevel="0" collapsed="false">
      <c r="A169" s="18" t="s">
        <v>67</v>
      </c>
      <c r="B169" s="17" t="n">
        <f aca="false">COUNTIF('Raw Data'!$G$2:$G$251,A169)</f>
        <v>131</v>
      </c>
      <c r="C169" s="21" t="n">
        <f aca="false">SUMIF('Raw Data'!$G$2:$G$251,A169,'Raw Data'!$N$2:$N$251)</f>
        <v>171756.05</v>
      </c>
      <c r="D169" s="25" t="n">
        <f aca="false">C169/$C$171</f>
        <v>0.749396566126278</v>
      </c>
    </row>
    <row r="170" customFormat="false" ht="15" hidden="false" customHeight="false" outlineLevel="0" collapsed="false">
      <c r="A170" s="18" t="s">
        <v>94</v>
      </c>
      <c r="B170" s="17" t="n">
        <f aca="false">COUNTIF('Raw Data'!$G$2:$G$251,A170)</f>
        <v>76</v>
      </c>
      <c r="C170" s="21" t="n">
        <f aca="false">SUMIF('Raw Data'!$G$2:$G$251,A170,'Raw Data'!$N$2:$N$251)</f>
        <v>49097.68</v>
      </c>
      <c r="D170" s="25" t="n">
        <f aca="false">C170/$C$171</f>
        <v>0.214220301391228</v>
      </c>
    </row>
    <row r="171" customFormat="false" ht="15" hidden="false" customHeight="false" outlineLevel="0" collapsed="false">
      <c r="A171" s="14" t="s">
        <v>542</v>
      </c>
      <c r="B171" s="28" t="n">
        <f aca="false">SUM(B168:B170)</f>
        <v>250</v>
      </c>
      <c r="C171" s="23" t="n">
        <f aca="false">SUM(C168:C170)</f>
        <v>229192.47</v>
      </c>
      <c r="D171" s="29" t="n">
        <f aca="false">SUM(D168:D170)</f>
        <v>1</v>
      </c>
    </row>
    <row r="173" customFormat="false" ht="15" hidden="false" customHeight="false" outlineLevel="0" collapsed="false">
      <c r="A173" s="14" t="s">
        <v>543</v>
      </c>
    </row>
    <row r="174" customFormat="false" ht="15" hidden="false" customHeight="false" outlineLevel="0" collapsed="false">
      <c r="A174" s="3" t="s">
        <v>54</v>
      </c>
      <c r="B174" s="3" t="s">
        <v>517</v>
      </c>
      <c r="C174" s="3" t="s">
        <v>497</v>
      </c>
      <c r="D174" s="3" t="s">
        <v>541</v>
      </c>
      <c r="E174" s="3" t="s">
        <v>518</v>
      </c>
    </row>
    <row r="175" customFormat="false" ht="15" hidden="false" customHeight="false" outlineLevel="0" collapsed="false">
      <c r="A175" s="18" t="s">
        <v>69</v>
      </c>
      <c r="B175" s="17" t="n">
        <f aca="false">COUNTIF('Raw Data'!$K$2:$K$251,A175)</f>
        <v>54</v>
      </c>
      <c r="C175" s="21" t="n">
        <f aca="false">SUMIF('Raw Data'!$K$2:$K$251,A175,'Raw Data'!$N$2:$N$251)</f>
        <v>41288.34</v>
      </c>
      <c r="D175" s="25" t="n">
        <f aca="false">C175/$C$180</f>
        <v>0.180147017919044</v>
      </c>
      <c r="E175" s="21" t="n">
        <f aca="false">C175/B175</f>
        <v>764.598888888889</v>
      </c>
    </row>
    <row r="176" customFormat="false" ht="15" hidden="false" customHeight="false" outlineLevel="0" collapsed="false">
      <c r="A176" s="18" t="s">
        <v>111</v>
      </c>
      <c r="B176" s="17" t="n">
        <f aca="false">COUNTIF('Raw Data'!$K$2:$K$251,A176)</f>
        <v>48</v>
      </c>
      <c r="C176" s="21" t="n">
        <f aca="false">SUMIF('Raw Data'!$K$2:$K$251,A176,'Raw Data'!$N$2:$N$251)</f>
        <v>59288.39</v>
      </c>
      <c r="D176" s="25" t="n">
        <f aca="false">C176/$C$180</f>
        <v>0.258683847684874</v>
      </c>
      <c r="E176" s="21" t="n">
        <f aca="false">C176/B176</f>
        <v>1235.17479166667</v>
      </c>
    </row>
    <row r="177" customFormat="false" ht="15" hidden="false" customHeight="false" outlineLevel="0" collapsed="false">
      <c r="A177" s="18" t="s">
        <v>88</v>
      </c>
      <c r="B177" s="17" t="n">
        <f aca="false">COUNTIF('Raw Data'!$K$2:$K$251,A177)</f>
        <v>59</v>
      </c>
      <c r="C177" s="21" t="n">
        <f aca="false">SUMIF('Raw Data'!$K$2:$K$251,A177,'Raw Data'!$N$2:$N$251)</f>
        <v>50808.31</v>
      </c>
      <c r="D177" s="25" t="n">
        <f aca="false">C177/$C$180</f>
        <v>0.221684028275449</v>
      </c>
      <c r="E177" s="21" t="n">
        <f aca="false">C177/B177</f>
        <v>861.15779661017</v>
      </c>
    </row>
    <row r="178" customFormat="false" ht="15" hidden="false" customHeight="false" outlineLevel="0" collapsed="false">
      <c r="A178" s="18" t="s">
        <v>83</v>
      </c>
      <c r="B178" s="17" t="n">
        <f aca="false">COUNTIF('Raw Data'!$K$2:$K$251,A178)</f>
        <v>42</v>
      </c>
      <c r="C178" s="21" t="n">
        <f aca="false">SUMIF('Raw Data'!$K$2:$K$251,A178,'Raw Data'!$N$2:$N$251)</f>
        <v>36398.75</v>
      </c>
      <c r="D178" s="25" t="n">
        <f aca="false">C178/$C$180</f>
        <v>0.158813027321535</v>
      </c>
      <c r="E178" s="21" t="n">
        <f aca="false">C178/B178</f>
        <v>866.636904761905</v>
      </c>
    </row>
    <row r="179" customFormat="false" ht="15" hidden="false" customHeight="false" outlineLevel="0" collapsed="false">
      <c r="A179" s="18" t="s">
        <v>98</v>
      </c>
      <c r="B179" s="17" t="n">
        <f aca="false">COUNTIF('Raw Data'!$K$2:$K$251,A179)</f>
        <v>47</v>
      </c>
      <c r="C179" s="21" t="n">
        <f aca="false">SUMIF('Raw Data'!$K$2:$K$251,A179,'Raw Data'!$N$2:$N$251)</f>
        <v>41408.68</v>
      </c>
      <c r="D179" s="25" t="n">
        <f aca="false">C179/$C$180</f>
        <v>0.180672078799098</v>
      </c>
      <c r="E179" s="21" t="n">
        <f aca="false">C179/B179</f>
        <v>881.035744680851</v>
      </c>
    </row>
    <row r="180" customFormat="false" ht="15" hidden="false" customHeight="false" outlineLevel="0" collapsed="false">
      <c r="A180" s="14" t="s">
        <v>542</v>
      </c>
      <c r="B180" s="28" t="n">
        <f aca="false">SUM(B175:B179)</f>
        <v>250</v>
      </c>
      <c r="C180" s="23" t="n">
        <f aca="false">SUM(C175:C179)</f>
        <v>229192.47</v>
      </c>
      <c r="D180" s="29" t="n">
        <f aca="false">SUM(D175:D179)</f>
        <v>1</v>
      </c>
      <c r="E180" s="23" t="n">
        <f aca="false">C180/B180</f>
        <v>916.76988</v>
      </c>
    </row>
    <row r="181" customFormat="false" ht="15" hidden="false" customHeight="false" outlineLevel="0" collapsed="false">
      <c r="A181" s="14" t="s">
        <v>544</v>
      </c>
      <c r="B181" s="18" t="str">
        <f aca="false">INDEX(A175:A179,MATCH(MAX(C175:C179),C175:C179,0))</f>
        <v>East</v>
      </c>
    </row>
    <row r="182" customFormat="false" ht="15" hidden="false" customHeight="false" outlineLevel="0" collapsed="false">
      <c r="A182" s="14" t="s">
        <v>545</v>
      </c>
      <c r="B182" s="18" t="str">
        <f aca="false">INDEX(A175:A179,MATCH(MIN(C175:C179),C175:C179,0))</f>
        <v>South</v>
      </c>
    </row>
    <row r="184" customFormat="false" ht="15" hidden="false" customHeight="false" outlineLevel="0" collapsed="false">
      <c r="A184" s="14" t="s">
        <v>546</v>
      </c>
    </row>
    <row r="185" customFormat="false" ht="15" hidden="false" customHeight="false" outlineLevel="0" collapsed="false">
      <c r="A185" s="3" t="s">
        <v>547</v>
      </c>
      <c r="B185" s="3" t="s">
        <v>517</v>
      </c>
      <c r="C185" s="3" t="s">
        <v>497</v>
      </c>
      <c r="D185" s="3" t="s">
        <v>541</v>
      </c>
    </row>
    <row r="186" customFormat="false" ht="15" hidden="false" customHeight="false" outlineLevel="0" collapsed="false">
      <c r="A186" s="18" t="s">
        <v>68</v>
      </c>
      <c r="B186" s="17" t="n">
        <f aca="false">COUNTIF('Raw Data'!$J$2:$J$251,A186)</f>
        <v>76</v>
      </c>
      <c r="C186" s="21" t="n">
        <f aca="false">SUMIF('Raw Data'!$J$2:$J$251,A186,'Raw Data'!$N$2:$N$251)</f>
        <v>57427.79</v>
      </c>
      <c r="D186" s="25" t="n">
        <f aca="false">C186/$C$190</f>
        <v>0.250565779931601</v>
      </c>
    </row>
    <row r="187" customFormat="false" ht="15" hidden="false" customHeight="false" outlineLevel="0" collapsed="false">
      <c r="A187" s="18" t="s">
        <v>74</v>
      </c>
      <c r="B187" s="17" t="n">
        <f aca="false">COUNTIF('Raw Data'!$J$2:$J$251,A187)</f>
        <v>68</v>
      </c>
      <c r="C187" s="21" t="n">
        <f aca="false">SUMIF('Raw Data'!$J$2:$J$251,A187,'Raw Data'!$N$2:$N$251)</f>
        <v>61447.96</v>
      </c>
      <c r="D187" s="25" t="n">
        <f aca="false">C187/$C$190</f>
        <v>0.268106364925514</v>
      </c>
    </row>
    <row r="188" customFormat="false" ht="15" hidden="false" customHeight="false" outlineLevel="0" collapsed="false">
      <c r="A188" s="18" t="s">
        <v>105</v>
      </c>
      <c r="B188" s="17" t="n">
        <f aca="false">COUNTIF('Raw Data'!$J$2:$J$251,A188)</f>
        <v>54</v>
      </c>
      <c r="C188" s="21" t="n">
        <f aca="false">SUMIF('Raw Data'!$J$2:$J$251,A188,'Raw Data'!$N$2:$N$251)</f>
        <v>52118.31</v>
      </c>
      <c r="D188" s="25" t="n">
        <f aca="false">C188/$C$190</f>
        <v>0.227399748342518</v>
      </c>
    </row>
    <row r="189" customFormat="false" ht="15" hidden="false" customHeight="false" outlineLevel="0" collapsed="false">
      <c r="A189" s="18" t="s">
        <v>82</v>
      </c>
      <c r="B189" s="17" t="n">
        <f aca="false">COUNTIF('Raw Data'!$J$2:$J$251,A189)</f>
        <v>52</v>
      </c>
      <c r="C189" s="21" t="n">
        <f aca="false">SUMIF('Raw Data'!$J$2:$J$251,A189,'Raw Data'!$N$2:$N$251)</f>
        <v>58198.41</v>
      </c>
      <c r="D189" s="25" t="n">
        <f aca="false">C189/$C$190</f>
        <v>0.253928106800367</v>
      </c>
    </row>
    <row r="190" customFormat="false" ht="15" hidden="false" customHeight="false" outlineLevel="0" collapsed="false">
      <c r="A190" s="14" t="s">
        <v>542</v>
      </c>
      <c r="B190" s="28" t="n">
        <f aca="false">SUM(B186:B189)</f>
        <v>250</v>
      </c>
      <c r="C190" s="23" t="n">
        <f aca="false">SUM(C186:C189)</f>
        <v>229192.47</v>
      </c>
      <c r="D190" s="29" t="n">
        <f aca="false">SUM(D186:D189)</f>
        <v>1</v>
      </c>
    </row>
    <row r="193" customFormat="false" ht="15" hidden="false" customHeight="false" outlineLevel="0" collapsed="false">
      <c r="A193" s="12" t="s">
        <v>548</v>
      </c>
      <c r="B193" s="13"/>
      <c r="C193" s="13"/>
      <c r="D193" s="13"/>
      <c r="E193" s="13"/>
      <c r="F193" s="13"/>
      <c r="G193" s="13"/>
      <c r="H193" s="13"/>
      <c r="I193" s="13"/>
      <c r="J193" s="13"/>
    </row>
    <row r="194" customFormat="false" ht="23.85" hidden="false" customHeight="false" outlineLevel="0" collapsed="false">
      <c r="A194" s="3" t="s">
        <v>549</v>
      </c>
      <c r="B194" s="3" t="s">
        <v>550</v>
      </c>
      <c r="C194" s="3" t="s">
        <v>551</v>
      </c>
      <c r="D194" s="3" t="s">
        <v>4</v>
      </c>
    </row>
    <row r="195" customFormat="false" ht="15" hidden="false" customHeight="false" outlineLevel="0" collapsed="false">
      <c r="A195" s="19" t="s">
        <v>435</v>
      </c>
      <c r="B195" s="18" t="str">
        <f aca="false">B85</f>
        <v>John Smith</v>
      </c>
      <c r="C195" s="18" t="str">
        <f aca="false">IFERROR(INDEX($A$195:$A$244,MATCH(B195,$A$195:$A$244,0)),"")</f>
        <v>John Smith</v>
      </c>
      <c r="D195" s="18" t="str">
        <f aca="false">IF(C195="","Not in campaign","In both lists")</f>
        <v>In both lists</v>
      </c>
    </row>
    <row r="196" customFormat="false" ht="15" hidden="false" customHeight="false" outlineLevel="0" collapsed="false">
      <c r="A196" s="19" t="s">
        <v>91</v>
      </c>
      <c r="B196" s="18" t="str">
        <f aca="false">B86</f>
        <v>Emma Wilson</v>
      </c>
      <c r="C196" s="18" t="str">
        <f aca="false">IFERROR(INDEX($A$195:$A$244,MATCH(B196,$A$195:$A$244,0)),"")</f>
        <v/>
      </c>
      <c r="D196" s="18" t="str">
        <f aca="false">IF(C196="","Not in campaign","In both lists")</f>
        <v>Not in campaign</v>
      </c>
    </row>
    <row r="197" customFormat="false" ht="15" hidden="false" customHeight="false" outlineLevel="0" collapsed="false">
      <c r="A197" s="19" t="s">
        <v>353</v>
      </c>
      <c r="B197" s="18" t="str">
        <f aca="false">B87</f>
        <v>Michael Brown</v>
      </c>
      <c r="C197" s="18" t="str">
        <f aca="false">IFERROR(INDEX($A$195:$A$244,MATCH(B197,$A$195:$A$244,0)),"")</f>
        <v>Michael Brown</v>
      </c>
      <c r="D197" s="18" t="str">
        <f aca="false">IF(C197="","Not in campaign","In both lists")</f>
        <v>In both lists</v>
      </c>
    </row>
    <row r="198" customFormat="false" ht="15" hidden="false" customHeight="false" outlineLevel="0" collapsed="false">
      <c r="A198" s="19" t="s">
        <v>231</v>
      </c>
      <c r="B198" s="18" t="str">
        <f aca="false">B88</f>
        <v>Sarah Davis</v>
      </c>
      <c r="C198" s="18" t="str">
        <f aca="false">IFERROR(INDEX($A$195:$A$244,MATCH(B198,$A$195:$A$244,0)),"")</f>
        <v/>
      </c>
      <c r="D198" s="18" t="str">
        <f aca="false">IF(C198="","Not in campaign","In both lists")</f>
        <v>Not in campaign</v>
      </c>
    </row>
    <row r="199" customFormat="false" ht="15" hidden="false" customHeight="false" outlineLevel="0" collapsed="false">
      <c r="A199" s="19" t="s">
        <v>108</v>
      </c>
      <c r="B199" s="18" t="str">
        <f aca="false">B89</f>
        <v>James Johnson</v>
      </c>
      <c r="C199" s="18" t="str">
        <f aca="false">IFERROR(INDEX($A$195:$A$244,MATCH(B199,$A$195:$A$244,0)),"")</f>
        <v>James Johnson</v>
      </c>
      <c r="D199" s="18" t="str">
        <f aca="false">IF(C199="","Not in campaign","In both lists")</f>
        <v>In both lists</v>
      </c>
    </row>
    <row r="200" customFormat="false" ht="15" hidden="false" customHeight="false" outlineLevel="0" collapsed="false">
      <c r="A200" s="19" t="s">
        <v>301</v>
      </c>
      <c r="B200" s="18" t="str">
        <f aca="false">B90</f>
        <v>Lisa Anderson</v>
      </c>
      <c r="C200" s="18" t="str">
        <f aca="false">IFERROR(INDEX($A$195:$A$244,MATCH(B200,$A$195:$A$244,0)),"")</f>
        <v/>
      </c>
      <c r="D200" s="18" t="str">
        <f aca="false">IF(C200="","Not in campaign","In both lists")</f>
        <v>Not in campaign</v>
      </c>
    </row>
    <row r="201" customFormat="false" ht="15" hidden="false" customHeight="false" outlineLevel="0" collapsed="false">
      <c r="A201" s="19" t="s">
        <v>73</v>
      </c>
      <c r="B201" s="18" t="str">
        <f aca="false">B91</f>
        <v>David Martinez</v>
      </c>
      <c r="C201" s="18" t="str">
        <f aca="false">IFERROR(INDEX($A$195:$A$244,MATCH(B201,$A$195:$A$244,0)),"")</f>
        <v>David Martinez</v>
      </c>
      <c r="D201" s="18" t="str">
        <f aca="false">IF(C201="","Not in campaign","In both lists")</f>
        <v>In both lists</v>
      </c>
    </row>
    <row r="202" customFormat="false" ht="15" hidden="false" customHeight="false" outlineLevel="0" collapsed="false">
      <c r="A202" s="19" t="s">
        <v>308</v>
      </c>
      <c r="B202" s="18" t="str">
        <f aca="false">B92</f>
        <v>Jennifer Taylor</v>
      </c>
      <c r="C202" s="18" t="str">
        <f aca="false">IFERROR(INDEX($A$195:$A$244,MATCH(B202,$A$195:$A$244,0)),"")</f>
        <v/>
      </c>
      <c r="D202" s="18" t="str">
        <f aca="false">IF(C202="","Not in campaign","In both lists")</f>
        <v>Not in campaign</v>
      </c>
    </row>
    <row r="203" customFormat="false" ht="15" hidden="false" customHeight="false" outlineLevel="0" collapsed="false">
      <c r="A203" s="19" t="s">
        <v>104</v>
      </c>
      <c r="B203" s="18" t="str">
        <f aca="false">B93</f>
        <v>Robert Thomas</v>
      </c>
      <c r="C203" s="18" t="str">
        <f aca="false">IFERROR(INDEX($A$195:$A$244,MATCH(B203,$A$195:$A$244,0)),"")</f>
        <v>Robert Thomas</v>
      </c>
      <c r="D203" s="18" t="str">
        <f aca="false">IF(C203="","Not in campaign","In both lists")</f>
        <v>In both lists</v>
      </c>
    </row>
    <row r="204" customFormat="false" ht="15" hidden="false" customHeight="false" outlineLevel="0" collapsed="false">
      <c r="A204" s="19" t="s">
        <v>196</v>
      </c>
      <c r="B204" s="18" t="str">
        <f aca="false">B94</f>
        <v>Maria Garcia</v>
      </c>
      <c r="C204" s="18" t="str">
        <f aca="false">IFERROR(INDEX($A$195:$A$244,MATCH(B204,$A$195:$A$244,0)),"")</f>
        <v/>
      </c>
      <c r="D204" s="18" t="str">
        <f aca="false">IF(C204="","Not in campaign","In both lists")</f>
        <v>Not in campaign</v>
      </c>
    </row>
    <row r="205" customFormat="false" ht="15" hidden="false" customHeight="false" outlineLevel="0" collapsed="false">
      <c r="A205" s="19" t="s">
        <v>78</v>
      </c>
      <c r="B205" s="18" t="str">
        <f aca="false">B95</f>
        <v>William White</v>
      </c>
      <c r="C205" s="18" t="str">
        <f aca="false">IFERROR(INDEX($A$195:$A$244,MATCH(B205,$A$195:$A$244,0)),"")</f>
        <v>William White</v>
      </c>
      <c r="D205" s="18" t="str">
        <f aca="false">IF(C205="","Not in campaign","In both lists")</f>
        <v>In both lists</v>
      </c>
    </row>
    <row r="206" customFormat="false" ht="15" hidden="false" customHeight="false" outlineLevel="0" collapsed="false">
      <c r="A206" s="19" t="s">
        <v>64</v>
      </c>
      <c r="B206" s="18" t="str">
        <f aca="false">B96</f>
        <v>Patricia Moore</v>
      </c>
      <c r="C206" s="18" t="str">
        <f aca="false">IFERROR(INDEX($A$195:$A$244,MATCH(B206,$A$195:$A$244,0)),"")</f>
        <v/>
      </c>
      <c r="D206" s="18" t="str">
        <f aca="false">IF(C206="","Not in campaign","In both lists")</f>
        <v>Not in campaign</v>
      </c>
    </row>
    <row r="207" customFormat="false" ht="15" hidden="false" customHeight="false" outlineLevel="0" collapsed="false">
      <c r="A207" s="19" t="s">
        <v>135</v>
      </c>
      <c r="B207" s="18" t="str">
        <f aca="false">B97</f>
        <v>Joseph Jackson</v>
      </c>
      <c r="C207" s="18" t="str">
        <f aca="false">IFERROR(INDEX($A$195:$A$244,MATCH(B207,$A$195:$A$244,0)),"")</f>
        <v>Joseph Jackson</v>
      </c>
      <c r="D207" s="18" t="str">
        <f aca="false">IF(C207="","Not in campaign","In both lists")</f>
        <v>In both lists</v>
      </c>
    </row>
    <row r="208" customFormat="false" ht="15" hidden="false" customHeight="false" outlineLevel="0" collapsed="false">
      <c r="A208" s="19" t="s">
        <v>132</v>
      </c>
      <c r="B208" s="18" t="str">
        <f aca="false">B98</f>
        <v>Linda Martin</v>
      </c>
      <c r="C208" s="18" t="str">
        <f aca="false">IFERROR(INDEX($A$195:$A$244,MATCH(B208,$A$195:$A$244,0)),"")</f>
        <v/>
      </c>
      <c r="D208" s="18" t="str">
        <f aca="false">IF(C208="","Not in campaign","In both lists")</f>
        <v>Not in campaign</v>
      </c>
    </row>
    <row r="209" customFormat="false" ht="15" hidden="false" customHeight="false" outlineLevel="0" collapsed="false">
      <c r="A209" s="19" t="s">
        <v>175</v>
      </c>
      <c r="B209" s="18" t="str">
        <f aca="false">B99</f>
        <v>Richard Lee</v>
      </c>
      <c r="C209" s="18" t="str">
        <f aca="false">IFERROR(INDEX($A$195:$A$244,MATCH(B209,$A$195:$A$244,0)),"")</f>
        <v>Richard Lee</v>
      </c>
      <c r="D209" s="18" t="str">
        <f aca="false">IF(C209="","Not in campaign","In both lists")</f>
        <v>In both lists</v>
      </c>
    </row>
    <row r="210" customFormat="false" ht="15" hidden="false" customHeight="false" outlineLevel="0" collapsed="false">
      <c r="A210" s="19" t="s">
        <v>187</v>
      </c>
      <c r="B210" s="18" t="str">
        <f aca="false">B100</f>
        <v>Elizabeth Hall</v>
      </c>
      <c r="C210" s="18" t="str">
        <f aca="false">IFERROR(INDEX($A$195:$A$244,MATCH(B210,$A$195:$A$244,0)),"")</f>
        <v/>
      </c>
      <c r="D210" s="18" t="str">
        <f aca="false">IF(C210="","Not in campaign","In both lists")</f>
        <v>Not in campaign</v>
      </c>
    </row>
    <row r="211" customFormat="false" ht="15" hidden="false" customHeight="false" outlineLevel="0" collapsed="false">
      <c r="A211" s="19" t="s">
        <v>241</v>
      </c>
      <c r="B211" s="18" t="str">
        <f aca="false">B101</f>
        <v>Charles Allen</v>
      </c>
      <c r="C211" s="18" t="str">
        <f aca="false">IFERROR(INDEX($A$195:$A$244,MATCH(B211,$A$195:$A$244,0)),"")</f>
        <v>Charles Allen</v>
      </c>
      <c r="D211" s="18" t="str">
        <f aca="false">IF(C211="","Not in campaign","In both lists")</f>
        <v>In both lists</v>
      </c>
    </row>
    <row r="212" customFormat="false" ht="15" hidden="false" customHeight="false" outlineLevel="0" collapsed="false">
      <c r="A212" s="19" t="s">
        <v>193</v>
      </c>
      <c r="B212" s="18" t="str">
        <f aca="false">B102</f>
        <v>Barbara Young</v>
      </c>
      <c r="C212" s="18" t="str">
        <f aca="false">IFERROR(INDEX($A$195:$A$244,MATCH(B212,$A$195:$A$244,0)),"")</f>
        <v/>
      </c>
      <c r="D212" s="18" t="str">
        <f aca="false">IF(C212="","Not in campaign","In both lists")</f>
        <v>Not in campaign</v>
      </c>
    </row>
    <row r="213" customFormat="false" ht="15" hidden="false" customHeight="false" outlineLevel="0" collapsed="false">
      <c r="A213" s="19" t="s">
        <v>374</v>
      </c>
      <c r="B213" s="18" t="str">
        <f aca="false">B103</f>
        <v>Daniel King</v>
      </c>
      <c r="C213" s="18" t="str">
        <f aca="false">IFERROR(INDEX($A$195:$A$244,MATCH(B213,$A$195:$A$244,0)),"")</f>
        <v>Daniel King</v>
      </c>
      <c r="D213" s="18" t="str">
        <f aca="false">IF(C213="","Not in campaign","In both lists")</f>
        <v>In both lists</v>
      </c>
    </row>
    <row r="214" customFormat="false" ht="15" hidden="false" customHeight="false" outlineLevel="0" collapsed="false">
      <c r="A214" s="19" t="s">
        <v>275</v>
      </c>
      <c r="B214" s="18" t="str">
        <f aca="false">B104</f>
        <v>Margaret Wright</v>
      </c>
      <c r="C214" s="18" t="str">
        <f aca="false">IFERROR(INDEX($A$195:$A$244,MATCH(B214,$A$195:$A$244,0)),"")</f>
        <v/>
      </c>
      <c r="D214" s="18" t="str">
        <f aca="false">IF(C214="","Not in campaign","In both lists")</f>
        <v>Not in campaign</v>
      </c>
    </row>
    <row r="215" customFormat="false" ht="15" hidden="false" customHeight="false" outlineLevel="0" collapsed="false">
      <c r="A215" s="19" t="s">
        <v>121</v>
      </c>
      <c r="B215" s="18" t="str">
        <f aca="false">B105</f>
        <v>Kevin Scott</v>
      </c>
      <c r="C215" s="18" t="str">
        <f aca="false">IFERROR(INDEX($A$195:$A$244,MATCH(B215,$A$195:$A$244,0)),"")</f>
        <v>Kevin Scott</v>
      </c>
      <c r="D215" s="18" t="str">
        <f aca="false">IF(C215="","Not in campaign","In both lists")</f>
        <v>In both lists</v>
      </c>
    </row>
    <row r="216" customFormat="false" ht="15" hidden="false" customHeight="false" outlineLevel="0" collapsed="false">
      <c r="A216" s="19" t="s">
        <v>124</v>
      </c>
      <c r="B216" s="18" t="str">
        <f aca="false">B106</f>
        <v>Susan Green</v>
      </c>
      <c r="C216" s="18" t="str">
        <f aca="false">IFERROR(INDEX($A$195:$A$244,MATCH(B216,$A$195:$A$244,0)),"")</f>
        <v/>
      </c>
      <c r="D216" s="18" t="str">
        <f aca="false">IF(C216="","Not in campaign","In both lists")</f>
        <v>Not in campaign</v>
      </c>
    </row>
    <row r="217" customFormat="false" ht="15" hidden="false" customHeight="false" outlineLevel="0" collapsed="false">
      <c r="A217" s="19" t="s">
        <v>552</v>
      </c>
      <c r="B217" s="18" t="str">
        <f aca="false">B107</f>
        <v>Paul Baker</v>
      </c>
      <c r="C217" s="18" t="str">
        <f aca="false">IFERROR(INDEX($A$195:$A$244,MATCH(B217,$A$195:$A$244,0)),"")</f>
        <v>Paul Baker</v>
      </c>
      <c r="D217" s="18" t="str">
        <f aca="false">IF(C217="","Not in campaign","In both lists")</f>
        <v>In both lists</v>
      </c>
    </row>
    <row r="218" customFormat="false" ht="15" hidden="false" customHeight="false" outlineLevel="0" collapsed="false">
      <c r="A218" s="19" t="s">
        <v>553</v>
      </c>
      <c r="B218" s="18" t="str">
        <f aca="false">B108</f>
        <v>Dorothy Nelson</v>
      </c>
      <c r="C218" s="18" t="str">
        <f aca="false">IFERROR(INDEX($A$195:$A$244,MATCH(B218,$A$195:$A$244,0)),"")</f>
        <v/>
      </c>
      <c r="D218" s="18" t="str">
        <f aca="false">IF(C218="","Not in campaign","In both lists")</f>
        <v>Not in campaign</v>
      </c>
    </row>
    <row r="219" customFormat="false" ht="15" hidden="false" customHeight="false" outlineLevel="0" collapsed="false">
      <c r="A219" s="19" t="s">
        <v>554</v>
      </c>
      <c r="B219" s="18" t="str">
        <f aca="false">B109</f>
        <v>Mark Carter</v>
      </c>
      <c r="C219" s="18" t="str">
        <f aca="false">IFERROR(INDEX($A$195:$A$244,MATCH(B219,$A$195:$A$244,0)),"")</f>
        <v>Mark Carter</v>
      </c>
      <c r="D219" s="18" t="str">
        <f aca="false">IF(C219="","Not in campaign","In both lists")</f>
        <v>In both lists</v>
      </c>
    </row>
    <row r="220" customFormat="false" ht="15" hidden="false" customHeight="false" outlineLevel="0" collapsed="false">
      <c r="A220" s="19" t="s">
        <v>555</v>
      </c>
      <c r="B220" s="18" t="str">
        <f aca="false">B110</f>
        <v>Karen Hill</v>
      </c>
      <c r="C220" s="18" t="str">
        <f aca="false">IFERROR(INDEX($A$195:$A$244,MATCH(B220,$A$195:$A$244,0)),"")</f>
        <v/>
      </c>
      <c r="D220" s="18" t="str">
        <f aca="false">IF(C220="","Not in campaign","In both lists")</f>
        <v>Not in campaign</v>
      </c>
    </row>
    <row r="221" customFormat="false" ht="15" hidden="false" customHeight="false" outlineLevel="0" collapsed="false">
      <c r="A221" s="19"/>
      <c r="B221" s="18" t="str">
        <f aca="false">B111</f>
        <v>George Adams</v>
      </c>
      <c r="C221" s="18" t="str">
        <f aca="false">IFERROR(INDEX($A$195:$A$244,MATCH(B221,$A$195:$A$244,0)),"")</f>
        <v>George Adams</v>
      </c>
      <c r="D221" s="18" t="str">
        <f aca="false">IF(C221="","Not in campaign","In both lists")</f>
        <v>In both lists</v>
      </c>
    </row>
    <row r="222" customFormat="false" ht="15" hidden="false" customHeight="false" outlineLevel="0" collapsed="false">
      <c r="A222" s="19"/>
      <c r="B222" s="18" t="str">
        <f aca="false">B112</f>
        <v>Betty Campbell</v>
      </c>
      <c r="C222" s="18" t="str">
        <f aca="false">IFERROR(INDEX($A$195:$A$244,MATCH(B222,$A$195:$A$244,0)),"")</f>
        <v/>
      </c>
      <c r="D222" s="18" t="str">
        <f aca="false">IF(C222="","Not in campaign","In both lists")</f>
        <v>Not in campaign</v>
      </c>
    </row>
    <row r="223" customFormat="false" ht="15" hidden="false" customHeight="false" outlineLevel="0" collapsed="false">
      <c r="A223" s="19"/>
      <c r="B223" s="18" t="str">
        <f aca="false">B113</f>
        <v>Edward Mitchell</v>
      </c>
      <c r="C223" s="18" t="str">
        <f aca="false">IFERROR(INDEX($A$195:$A$244,MATCH(B223,$A$195:$A$244,0)),"")</f>
        <v>Edward Mitchell</v>
      </c>
      <c r="D223" s="18" t="str">
        <f aca="false">IF(C223="","Not in campaign","In both lists")</f>
        <v>In both lists</v>
      </c>
    </row>
    <row r="224" customFormat="false" ht="15" hidden="false" customHeight="false" outlineLevel="0" collapsed="false">
      <c r="A224" s="19"/>
      <c r="B224" s="18" t="str">
        <f aca="false">B114</f>
        <v>Helen Roberts</v>
      </c>
      <c r="C224" s="18" t="str">
        <f aca="false">IFERROR(INDEX($A$195:$A$244,MATCH(B224,$A$195:$A$244,0)),"")</f>
        <v/>
      </c>
      <c r="D224" s="18" t="str">
        <f aca="false">IF(C224="","Not in campaign","In both lists")</f>
        <v>Not in campaign</v>
      </c>
    </row>
    <row r="225" customFormat="false" ht="15" hidden="false" customHeight="false" outlineLevel="0" collapsed="false">
      <c r="A225" s="19"/>
      <c r="B225" s="18" t="str">
        <f aca="false">B115</f>
        <v>Steven Turner</v>
      </c>
      <c r="C225" s="18" t="str">
        <f aca="false">IFERROR(INDEX($A$195:$A$244,MATCH(B225,$A$195:$A$244,0)),"")</f>
        <v>Steven Turner</v>
      </c>
      <c r="D225" s="18" t="str">
        <f aca="false">IF(C225="","Not in campaign","In both lists")</f>
        <v>In both lists</v>
      </c>
    </row>
    <row r="226" customFormat="false" ht="15" hidden="false" customHeight="false" outlineLevel="0" collapsed="false">
      <c r="A226" s="19"/>
      <c r="B226" s="18" t="str">
        <f aca="false">B116</f>
        <v>Sandra Phillips</v>
      </c>
      <c r="C226" s="18" t="str">
        <f aca="false">IFERROR(INDEX($A$195:$A$244,MATCH(B226,$A$195:$A$244,0)),"")</f>
        <v/>
      </c>
      <c r="D226" s="18" t="str">
        <f aca="false">IF(C226="","Not in campaign","In both lists")</f>
        <v>Not in campaign</v>
      </c>
    </row>
    <row r="227" customFormat="false" ht="15" hidden="false" customHeight="false" outlineLevel="0" collapsed="false">
      <c r="A227" s="19"/>
      <c r="B227" s="18" t="str">
        <f aca="false">B117</f>
        <v>Frank Torres</v>
      </c>
      <c r="C227" s="18" t="str">
        <f aca="false">IFERROR(INDEX($A$195:$A$244,MATCH(B227,$A$195:$A$244,0)),"")</f>
        <v>Frank Torres</v>
      </c>
      <c r="D227" s="18" t="str">
        <f aca="false">IF(C227="","Not in campaign","In both lists")</f>
        <v>In both lists</v>
      </c>
    </row>
    <row r="228" customFormat="false" ht="15" hidden="false" customHeight="false" outlineLevel="0" collapsed="false">
      <c r="A228" s="19"/>
      <c r="B228" s="18" t="str">
        <f aca="false">B118</f>
        <v>Carol Evans</v>
      </c>
      <c r="C228" s="18" t="str">
        <f aca="false">IFERROR(INDEX($A$195:$A$244,MATCH(B228,$A$195:$A$244,0)),"")</f>
        <v/>
      </c>
      <c r="D228" s="18" t="str">
        <f aca="false">IF(C228="","Not in campaign","In both lists")</f>
        <v>Not in campaign</v>
      </c>
    </row>
    <row r="229" customFormat="false" ht="15" hidden="false" customHeight="false" outlineLevel="0" collapsed="false">
      <c r="A229" s="19"/>
      <c r="B229" s="18" t="str">
        <f aca="false">B119</f>
        <v>Harry Morgan</v>
      </c>
      <c r="C229" s="18" t="str">
        <f aca="false">IFERROR(INDEX($A$195:$A$244,MATCH(B229,$A$195:$A$244,0)),"")</f>
        <v>Harry Morgan</v>
      </c>
      <c r="D229" s="18" t="str">
        <f aca="false">IF(C229="","Not in campaign","In both lists")</f>
        <v>In both lists</v>
      </c>
    </row>
    <row r="230" customFormat="false" ht="15" hidden="false" customHeight="false" outlineLevel="0" collapsed="false">
      <c r="A230" s="19"/>
      <c r="B230" s="18" t="str">
        <f aca="false">B120</f>
        <v>Nancy Collins</v>
      </c>
      <c r="C230" s="18" t="str">
        <f aca="false">IFERROR(INDEX($A$195:$A$244,MATCH(B230,$A$195:$A$244,0)),"")</f>
        <v/>
      </c>
      <c r="D230" s="18" t="str">
        <f aca="false">IF(C230="","Not in campaign","In both lists")</f>
        <v>Not in campaign</v>
      </c>
    </row>
    <row r="231" customFormat="false" ht="15" hidden="false" customHeight="false" outlineLevel="0" collapsed="false">
      <c r="A231" s="19"/>
      <c r="B231" s="18" t="str">
        <f aca="false">B121</f>
        <v>Arthur Edwards</v>
      </c>
      <c r="C231" s="18" t="str">
        <f aca="false">IFERROR(INDEX($A$195:$A$244,MATCH(B231,$A$195:$A$244,0)),"")</f>
        <v>Arthur Edwards</v>
      </c>
      <c r="D231" s="18" t="str">
        <f aca="false">IF(C231="","Not in campaign","In both lists")</f>
        <v>In both lists</v>
      </c>
    </row>
    <row r="232" customFormat="false" ht="15" hidden="false" customHeight="false" outlineLevel="0" collapsed="false">
      <c r="A232" s="19"/>
      <c r="B232" s="18" t="str">
        <f aca="false">B122</f>
        <v>Michelle Rogers</v>
      </c>
      <c r="C232" s="18" t="str">
        <f aca="false">IFERROR(INDEX($A$195:$A$244,MATCH(B232,$A$195:$A$244,0)),"")</f>
        <v/>
      </c>
      <c r="D232" s="18" t="str">
        <f aca="false">IF(C232="","Not in campaign","In both lists")</f>
        <v>Not in campaign</v>
      </c>
    </row>
    <row r="233" customFormat="false" ht="15" hidden="false" customHeight="false" outlineLevel="0" collapsed="false">
      <c r="A233" s="19"/>
      <c r="B233" s="18" t="str">
        <f aca="false">B123</f>
        <v>Lawrence Reed</v>
      </c>
      <c r="C233" s="18" t="str">
        <f aca="false">IFERROR(INDEX($A$195:$A$244,MATCH(B233,$A$195:$A$244,0)),"")</f>
        <v>Lawrence Reed</v>
      </c>
      <c r="D233" s="18" t="str">
        <f aca="false">IF(C233="","Not in campaign","In both lists")</f>
        <v>In both lists</v>
      </c>
    </row>
    <row r="234" customFormat="false" ht="15" hidden="false" customHeight="false" outlineLevel="0" collapsed="false">
      <c r="A234" s="19"/>
      <c r="B234" s="18" t="str">
        <f aca="false">B124</f>
        <v>Sharon Butler</v>
      </c>
      <c r="C234" s="18" t="str">
        <f aca="false">IFERROR(INDEX($A$195:$A$244,MATCH(B234,$A$195:$A$244,0)),"")</f>
        <v/>
      </c>
      <c r="D234" s="18" t="str">
        <f aca="false">IF(C234="","Not in campaign","In both lists")</f>
        <v>Not in campaign</v>
      </c>
    </row>
    <row r="235" customFormat="false" ht="15" hidden="false" customHeight="false" outlineLevel="0" collapsed="false">
      <c r="A235" s="19"/>
      <c r="B235" s="18" t="str">
        <f aca="false">B125</f>
        <v>Peter Richardson</v>
      </c>
      <c r="C235" s="18" t="str">
        <f aca="false">IFERROR(INDEX($A$195:$A$244,MATCH(B235,$A$195:$A$244,0)),"")</f>
        <v>Peter Richardson</v>
      </c>
      <c r="D235" s="18" t="str">
        <f aca="false">IF(C235="","Not in campaign","In both lists")</f>
        <v>In both lists</v>
      </c>
    </row>
    <row r="236" customFormat="false" ht="15" hidden="false" customHeight="false" outlineLevel="0" collapsed="false">
      <c r="A236" s="19"/>
      <c r="B236" s="18" t="str">
        <f aca="false">B126</f>
        <v>Ruth Brooks</v>
      </c>
      <c r="C236" s="18" t="str">
        <f aca="false">IFERROR(INDEX($A$195:$A$244,MATCH(B236,$A$195:$A$244,0)),"")</f>
        <v/>
      </c>
      <c r="D236" s="18" t="str">
        <f aca="false">IF(C236="","Not in campaign","In both lists")</f>
        <v>Not in campaign</v>
      </c>
    </row>
    <row r="237" customFormat="false" ht="15" hidden="false" customHeight="false" outlineLevel="0" collapsed="false">
      <c r="A237" s="19"/>
      <c r="B237" s="18" t="str">
        <f aca="false">B127</f>
        <v>Dennis Gray</v>
      </c>
      <c r="C237" s="18" t="str">
        <f aca="false">IFERROR(INDEX($A$195:$A$244,MATCH(B237,$A$195:$A$244,0)),"")</f>
        <v>Dennis Gray</v>
      </c>
      <c r="D237" s="18" t="str">
        <f aca="false">IF(C237="","Not in campaign","In both lists")</f>
        <v>In both lists</v>
      </c>
    </row>
    <row r="238" customFormat="false" ht="15" hidden="false" customHeight="false" outlineLevel="0" collapsed="false">
      <c r="A238" s="19"/>
      <c r="B238" s="18" t="str">
        <f aca="false">B128</f>
        <v>Cynthia Price</v>
      </c>
      <c r="C238" s="18" t="str">
        <f aca="false">IFERROR(INDEX($A$195:$A$244,MATCH(B238,$A$195:$A$244,0)),"")</f>
        <v/>
      </c>
      <c r="D238" s="18" t="str">
        <f aca="false">IF(C238="","Not in campaign","In both lists")</f>
        <v>Not in campaign</v>
      </c>
    </row>
    <row r="239" customFormat="false" ht="15" hidden="false" customHeight="false" outlineLevel="0" collapsed="false">
      <c r="A239" s="19"/>
      <c r="B239" s="18" t="str">
        <f aca="false">B129</f>
        <v>Douglas Watson</v>
      </c>
      <c r="C239" s="18" t="str">
        <f aca="false">IFERROR(INDEX($A$195:$A$244,MATCH(B239,$A$195:$A$244,0)),"")</f>
        <v/>
      </c>
      <c r="D239" s="18" t="str">
        <f aca="false">IF(C239="","Not in campaign","In both lists")</f>
        <v>Not in campaign</v>
      </c>
    </row>
    <row r="240" customFormat="false" ht="15" hidden="false" customHeight="false" outlineLevel="0" collapsed="false">
      <c r="A240" s="19"/>
      <c r="B240" s="18" t="str">
        <f aca="false">B130</f>
        <v>Kathleen Bennett</v>
      </c>
      <c r="C240" s="18" t="str">
        <f aca="false">IFERROR(INDEX($A$195:$A$244,MATCH(B240,$A$195:$A$244,0)),"")</f>
        <v/>
      </c>
      <c r="D240" s="18" t="str">
        <f aca="false">IF(C240="","Not in campaign","In both lists")</f>
        <v>Not in campaign</v>
      </c>
    </row>
    <row r="241" customFormat="false" ht="15" hidden="false" customHeight="false" outlineLevel="0" collapsed="false">
      <c r="A241" s="19"/>
      <c r="B241" s="18" t="str">
        <f aca="false">B131</f>
        <v>Gerald Murphy</v>
      </c>
      <c r="C241" s="18" t="str">
        <f aca="false">IFERROR(INDEX($A$195:$A$244,MATCH(B241,$A$195:$A$244,0)),"")</f>
        <v/>
      </c>
      <c r="D241" s="18" t="str">
        <f aca="false">IF(C241="","Not in campaign","In both lists")</f>
        <v>Not in campaign</v>
      </c>
    </row>
    <row r="242" customFormat="false" ht="15" hidden="false" customHeight="false" outlineLevel="0" collapsed="false">
      <c r="A242" s="19"/>
      <c r="B242" s="18" t="str">
        <f aca="false">B132</f>
        <v>Virginia Sanders</v>
      </c>
      <c r="C242" s="18" t="str">
        <f aca="false">IFERROR(INDEX($A$195:$A$244,MATCH(B242,$A$195:$A$244,0)),"")</f>
        <v/>
      </c>
      <c r="D242" s="18" t="str">
        <f aca="false">IF(C242="","Not in campaign","In both lists")</f>
        <v>Not in campaign</v>
      </c>
    </row>
    <row r="243" customFormat="false" ht="15" hidden="false" customHeight="false" outlineLevel="0" collapsed="false">
      <c r="A243" s="19"/>
      <c r="B243" s="18" t="str">
        <f aca="false">B133</f>
        <v>Raymond Ross</v>
      </c>
      <c r="C243" s="18" t="str">
        <f aca="false">IFERROR(INDEX($A$195:$A$244,MATCH(B243,$A$195:$A$244,0)),"")</f>
        <v/>
      </c>
      <c r="D243" s="18" t="str">
        <f aca="false">IF(C243="","Not in campaign","In both lists")</f>
        <v>Not in campaign</v>
      </c>
    </row>
    <row r="244" customFormat="false" ht="15" hidden="false" customHeight="false" outlineLevel="0" collapsed="false">
      <c r="A244" s="19"/>
      <c r="B244" s="18" t="str">
        <f aca="false">B134</f>
        <v>Julie Foster</v>
      </c>
      <c r="C244" s="18" t="str">
        <f aca="false">IFERROR(INDEX($A$195:$A$244,MATCH(B244,$A$195:$A$244,0)),"")</f>
        <v/>
      </c>
      <c r="D244" s="18" t="str">
        <f aca="false">IF(C244="","Not in campaign","In both lists")</f>
        <v>Not in campaign</v>
      </c>
    </row>
    <row r="246" customFormat="false" ht="15" hidden="false" customHeight="false" outlineLevel="0" collapsed="false">
      <c r="A246" s="14" t="s">
        <v>556</v>
      </c>
      <c r="B246" s="17" t="n">
        <f aca="false">COUNTIF(C195:C244,"?*")</f>
        <v>22</v>
      </c>
    </row>
    <row r="247" customFormat="false" ht="15" hidden="false" customHeight="false" outlineLevel="0" collapsed="false">
      <c r="A247" s="2" t="s">
        <v>557</v>
      </c>
    </row>
  </sheetData>
  <mergeCells count="1">
    <mergeCell ref="H61:J63"/>
  </mergeCells>
  <conditionalFormatting sqref="F57:F66">
    <cfRule type="iconSet" priority="2">
      <iconSet iconSet="3Arrows">
        <cfvo type="num" val="-10"/>
        <cfvo type="num" val="-0.02"/>
        <cfvo type="num" val="0.02"/>
      </iconSet>
    </cfRule>
  </conditionalFormatting>
  <conditionalFormatting sqref="D85:D134">
    <cfRule type="dataBar" priority="3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{A5316B63-E97F-4638-9F12-F08CC3E6AAD2}</x14:id>
        </ext>
      </extLst>
    </cfRule>
  </conditionalFormatting>
  <conditionalFormatting sqref="H85:H134">
    <cfRule type="expression" priority="4" aboveAverage="0" equalAverage="0" bottom="0" percent="0" rank="0" text="" dxfId="2">
      <formula>$H85="High Value"</formula>
    </cfRule>
  </conditionalFormatting>
  <dataValidations count="1">
    <dataValidation allowBlank="false" errorStyle="stop" operator="between" showDropDown="false" showErrorMessage="false" showInputMessage="false" sqref="B16" type="list">
      <formula1>"Central,East,North,South,West"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316B63-E97F-4638-9F12-F08CC3E6AAD2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D85:D134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1" t="s">
        <v>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"/>
    <col collapsed="false" customWidth="true" hidden="false" outlineLevel="0" max="14" min="14" style="0" width="2"/>
  </cols>
  <sheetData>
    <row r="1" customFormat="false" ht="33.75" hidden="false" customHeight="true" outlineLevel="0" collapsed="false">
      <c r="A1" s="13"/>
      <c r="B1" s="30" t="s">
        <v>559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customFormat="false" ht="15" hidden="false" customHeight="false" outlineLevel="0" collapsed="false">
      <c r="A2" s="13"/>
      <c r="B2" s="31" t="str">
        <f aca="true">"Customer transactions  |  Data: "&amp;TEXT(Analysis!B6,"dd mmm yyyy")&amp;" to "&amp;TEXT(Analysis!B7,"dd mmm yyyy")&amp;"  |  Opened "&amp;TEXT(NOW(),"dd mmm yyyy hh:mm")</f>
        <v>Customer transactions  |  Data: 11 Apr 2024 to 11 Apr 2025  |  Opened 12 Oct 2026 06:35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customFormat="false" ht="15" hidden="false" customHeight="false" outlineLevel="0" collapsed="false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customFormat="false" ht="24" hidden="false" customHeight="true" outlineLevel="0" collapsed="false">
      <c r="A4" s="32"/>
      <c r="B4" s="33" t="s">
        <v>560</v>
      </c>
      <c r="C4" s="34" t="s">
        <v>561</v>
      </c>
      <c r="D4" s="34"/>
      <c r="E4" s="32"/>
      <c r="F4" s="33" t="s">
        <v>562</v>
      </c>
      <c r="G4" s="34" t="s">
        <v>561</v>
      </c>
      <c r="H4" s="34"/>
      <c r="I4" s="32"/>
      <c r="J4" s="33" t="s">
        <v>563</v>
      </c>
      <c r="K4" s="34" t="s">
        <v>561</v>
      </c>
      <c r="L4" s="34"/>
      <c r="M4" s="32"/>
      <c r="N4" s="32"/>
    </row>
    <row r="5" customFormat="false" ht="15" hidden="false" customHeight="false" outlineLevel="0" collapsed="false">
      <c r="A5" s="32"/>
      <c r="B5" s="35" t="s">
        <v>564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customFormat="false" ht="15" hidden="false" customHeight="false" outlineLevel="0" collapsed="false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customFormat="false" ht="15" hidden="false" customHeight="false" outlineLevel="0" collapsed="false">
      <c r="A7" s="32"/>
      <c r="B7" s="36" t="s">
        <v>565</v>
      </c>
      <c r="C7" s="36"/>
      <c r="D7" s="36"/>
      <c r="E7" s="36" t="s">
        <v>566</v>
      </c>
      <c r="F7" s="36"/>
      <c r="G7" s="36"/>
      <c r="H7" s="36" t="s">
        <v>567</v>
      </c>
      <c r="I7" s="36"/>
      <c r="J7" s="36"/>
      <c r="K7" s="36" t="s">
        <v>568</v>
      </c>
      <c r="L7" s="36"/>
      <c r="M7" s="36"/>
      <c r="N7" s="32"/>
    </row>
    <row r="8" customFormat="false" ht="33.75" hidden="false" customHeight="true" outlineLevel="0" collapsed="false">
      <c r="A8" s="32"/>
      <c r="B8" s="37" t="n">
        <f aca="false">'Dash Data'!B8</f>
        <v>229192.47</v>
      </c>
      <c r="C8" s="37"/>
      <c r="D8" s="37"/>
      <c r="E8" s="38" t="n">
        <f aca="false">'Dash Data'!B9</f>
        <v>250</v>
      </c>
      <c r="F8" s="38"/>
      <c r="G8" s="38"/>
      <c r="H8" s="38" t="n">
        <f aca="false">'Dash Data'!B10</f>
        <v>753</v>
      </c>
      <c r="I8" s="38"/>
      <c r="J8" s="38"/>
      <c r="K8" s="37" t="n">
        <f aca="false">'Dash Data'!B11</f>
        <v>916.76988</v>
      </c>
      <c r="L8" s="37"/>
      <c r="M8" s="37"/>
      <c r="N8" s="32"/>
    </row>
    <row r="9" customFormat="false" ht="18" hidden="false" customHeight="true" outlineLevel="0" collapsed="false">
      <c r="A9" s="32"/>
      <c r="B9" s="39" t="str">
        <f aca="false">TEXT('Dash Data'!B12,"0.0%")&amp;" of all revenue"</f>
        <v>100.0% of all revenue</v>
      </c>
      <c r="C9" s="39"/>
      <c r="D9" s="39"/>
      <c r="E9" s="39" t="str">
        <f aca="false">"Avg order "&amp;TEXT('Dash Data'!B11,"$#,##0")</f>
        <v>Avg order $917</v>
      </c>
      <c r="F9" s="39"/>
      <c r="G9" s="39"/>
      <c r="H9" s="39" t="str">
        <f aca="false">IFERROR(TEXT('Dash Data'!B10/'Dash Data'!B9,"0.0"),"0")&amp;" units per order"</f>
        <v>3.0 units per order</v>
      </c>
      <c r="I9" s="39"/>
      <c r="J9" s="39"/>
      <c r="K9" s="39" t="str">
        <f aca="false">IFERROR(TEXT('Dash Data'!B11/'Dash Data'!B13-1,"+0%;-0%")&amp;" vs overall","-")</f>
        <v>+0% vs overall</v>
      </c>
      <c r="L9" s="39"/>
      <c r="M9" s="39"/>
      <c r="N9" s="32"/>
    </row>
    <row r="10" customFormat="false" ht="15" hidden="false" customHeight="false" outlineLevel="0" collapsed="false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customFormat="false" ht="15" hidden="false" customHeight="false" outlineLevel="0" collapsed="false">
      <c r="A11" s="32"/>
      <c r="B11" s="40" t="s">
        <v>569</v>
      </c>
      <c r="C11" s="40"/>
      <c r="D11" s="40"/>
      <c r="E11" s="40" t="s">
        <v>570</v>
      </c>
      <c r="F11" s="40"/>
      <c r="G11" s="40"/>
      <c r="H11" s="40" t="s">
        <v>571</v>
      </c>
      <c r="I11" s="40"/>
      <c r="J11" s="40"/>
      <c r="K11" s="40" t="s">
        <v>572</v>
      </c>
      <c r="L11" s="40"/>
      <c r="M11" s="40"/>
      <c r="N11" s="32"/>
    </row>
    <row r="12" customFormat="false" ht="33.75" hidden="false" customHeight="true" outlineLevel="0" collapsed="false">
      <c r="A12" s="32"/>
      <c r="B12" s="41" t="n">
        <f aca="false">'Dash Data'!B16</f>
        <v>0.238341491706587</v>
      </c>
      <c r="C12" s="41"/>
      <c r="D12" s="41"/>
      <c r="E12" s="42" t="n">
        <f aca="false">'Dash Data'!B18</f>
        <v>1.08743395396499</v>
      </c>
      <c r="F12" s="42"/>
      <c r="G12" s="42"/>
      <c r="H12" s="43" t="str">
        <f aca="false">'Dash Data'!B19</f>
        <v>Laptop</v>
      </c>
      <c r="I12" s="43"/>
      <c r="J12" s="43"/>
      <c r="K12" s="43" t="str">
        <f aca="false">'Dash Data'!B21</f>
        <v>Mark Carter</v>
      </c>
      <c r="L12" s="43"/>
      <c r="M12" s="43"/>
      <c r="N12" s="32"/>
    </row>
    <row r="13" customFormat="false" ht="18" hidden="false" customHeight="true" outlineLevel="0" collapsed="false">
      <c r="A13" s="32"/>
      <c r="B13" s="39" t="str">
        <f aca="false">'Dash Data'!B38&amp;" vs "&amp;'Dash Data'!B37</f>
        <v>Mar-25 vs Feb-25</v>
      </c>
      <c r="C13" s="39"/>
      <c r="D13" s="39"/>
      <c r="E13" s="39" t="str">
        <f aca="false">"Avg month "&amp;TEXT('Dash Data'!B17,"$#,##0")</f>
        <v>Avg month $18,299</v>
      </c>
      <c r="F13" s="39"/>
      <c r="G13" s="39"/>
      <c r="H13" s="39" t="str">
        <f aca="false">TEXT('Dash Data'!B20,"$#,##0")&amp;" revenue"</f>
        <v>$67,499 revenue</v>
      </c>
      <c r="I13" s="39"/>
      <c r="J13" s="39"/>
      <c r="K13" s="39" t="str">
        <f aca="false">TEXT('Dash Data'!B22,"$#,##0")&amp;" revenue"</f>
        <v>$15,660 revenue</v>
      </c>
      <c r="L13" s="39"/>
      <c r="M13" s="39"/>
      <c r="N13" s="32"/>
    </row>
    <row r="14" customFormat="false" ht="15" hidden="false" customHeight="false" outlineLevel="0" collapsed="false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</row>
    <row r="15" customFormat="false" ht="24" hidden="false" customHeight="true" outlineLevel="0" collapsed="false">
      <c r="A15" s="32"/>
      <c r="B15" s="44" t="str">
        <f aca="false">IF('Dash Data'!B9=0,"No transactions match this selection - change a filter.","Showing "&amp;IF(C4="All","all regions",C4&amp;" region")&amp;", "&amp;IF(G4="All","all categories",G4)&amp;", "&amp;IF(K4="All","all payment methods",K4&amp;" payments")&amp;": "&amp;TEXT('Dash Data'!B8,"$#,##0")&amp;" revenue from "&amp;'Dash Data'!B9&amp;" orders. Best month: "&amp;'Dash Data'!B23&amp;".")</f>
        <v>Showing all regions, all categories, all payment methods: $229,192 revenue from 250 orders. Best month: Jan-25.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32"/>
    </row>
    <row r="16" customFormat="false" ht="15" hidden="false" customHeight="false" outlineLevel="0" collapsed="false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</row>
    <row r="17" customFormat="false" ht="15" hidden="false" customHeight="false" outlineLevel="0" collapsed="false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</row>
    <row r="18" customFormat="false" ht="15" hidden="false" customHeight="false" outlineLevel="0" collapsed="false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</row>
    <row r="19" customFormat="false" ht="15" hidden="false" customHeight="false" outlineLevel="0" collapsed="false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</row>
    <row r="20" customFormat="false" ht="15" hidden="false" customHeight="false" outlineLevel="0" collapsed="false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</row>
    <row r="21" customFormat="false" ht="15" hidden="false" customHeight="false" outlineLevel="0" collapsed="false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</row>
    <row r="22" customFormat="false" ht="15" hidden="false" customHeight="false" outlineLevel="0" collapsed="false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</row>
    <row r="23" customFormat="false" ht="15" hidden="false" customHeight="false" outlineLevel="0" collapsed="false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</row>
    <row r="24" customFormat="false" ht="15" hidden="false" customHeight="false" outlineLevel="0" collapsed="false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</row>
    <row r="25" customFormat="false" ht="15" hidden="false" customHeight="false" outlineLevel="0" collapsed="false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</row>
    <row r="26" customFormat="false" ht="15" hidden="false" customHeight="false" outlineLevel="0" collapsed="false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 customFormat="false" ht="15" hidden="false" customHeight="false" outlineLevel="0" collapsed="false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</row>
    <row r="28" customFormat="false" ht="15" hidden="false" customHeight="false" outlineLevel="0" collapsed="false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</row>
    <row r="29" customFormat="false" ht="15" hidden="false" customHeight="false" outlineLevel="0" collapsed="false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customFormat="false" ht="15" hidden="false" customHeight="false" outlineLevel="0" collapsed="false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</row>
    <row r="31" customFormat="false" ht="15" hidden="false" customHeight="false" outlineLevel="0" collapsed="false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</row>
    <row r="32" customFormat="false" ht="15" hidden="false" customHeight="false" outlineLevel="0" collapsed="false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</row>
    <row r="33" customFormat="false" ht="15" hidden="false" customHeight="false" outlineLevel="0" collapsed="false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</row>
    <row r="34" customFormat="false" ht="15" hidden="false" customHeight="false" outlineLevel="0" collapsed="false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</row>
    <row r="35" customFormat="false" ht="15" hidden="false" customHeight="false" outlineLevel="0" collapsed="false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</row>
    <row r="36" customFormat="false" ht="15" hidden="false" customHeight="false" outlineLevel="0" collapsed="false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</row>
    <row r="37" customFormat="false" ht="15" hidden="false" customHeight="false" outlineLevel="0" collapsed="false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</row>
    <row r="38" customFormat="false" ht="15" hidden="false" customHeight="false" outlineLevel="0" collapsed="false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</row>
    <row r="39" customFormat="false" ht="15" hidden="false" customHeight="false" outlineLevel="0" collapsed="false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</row>
    <row r="40" customFormat="false" ht="15" hidden="false" customHeight="false" outlineLevel="0" collapsed="false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</row>
    <row r="41" customFormat="false" ht="15" hidden="false" customHeight="false" outlineLevel="0" collapsed="false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</row>
    <row r="42" customFormat="false" ht="15" hidden="false" customHeight="false" outlineLevel="0" collapsed="false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</row>
    <row r="43" customFormat="false" ht="15" hidden="false" customHeight="false" outlineLevel="0" collapsed="false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</row>
    <row r="44" customFormat="false" ht="15" hidden="false" customHeight="false" outlineLevel="0" collapsed="false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</row>
    <row r="45" customFormat="false" ht="15" hidden="false" customHeight="false" outlineLevel="0" collapsed="false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</row>
    <row r="46" customFormat="false" ht="15" hidden="false" customHeight="false" outlineLevel="0" collapsed="false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</row>
    <row r="47" customFormat="false" ht="15" hidden="false" customHeight="false" outlineLevel="0" collapsed="false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</row>
    <row r="48" customFormat="false" ht="15" hidden="false" customHeight="false" outlineLevel="0" collapsed="false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</row>
    <row r="49" customFormat="false" ht="15" hidden="false" customHeight="false" outlineLevel="0" collapsed="false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</row>
    <row r="50" customFormat="false" ht="15" hidden="false" customHeight="false" outlineLevel="0" collapsed="false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</row>
    <row r="51" customFormat="false" ht="15" hidden="false" customHeight="false" outlineLevel="0" collapsed="false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</row>
    <row r="52" customFormat="false" ht="15" hidden="false" customHeight="false" outlineLevel="0" collapsed="false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customFormat="false" ht="15" hidden="false" customHeight="false" outlineLevel="0" collapsed="false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</row>
    <row r="54" customFormat="false" ht="15" hidden="false" customHeight="false" outlineLevel="0" collapsed="false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 customFormat="false" ht="15" hidden="false" customHeight="false" outlineLevel="0" collapsed="false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</row>
    <row r="56" customFormat="false" ht="15" hidden="false" customHeight="false" outlineLevel="0" collapsed="false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</row>
    <row r="57" customFormat="false" ht="15" hidden="false" customHeight="false" outlineLevel="0" collapsed="false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</row>
    <row r="58" customFormat="false" ht="15" hidden="false" customHeight="false" outlineLevel="0" collapsed="false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</row>
    <row r="59" customFormat="false" ht="15" hidden="false" customHeight="false" outlineLevel="0" collapsed="false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</row>
    <row r="60" customFormat="false" ht="15" hidden="false" customHeight="false" outlineLevel="0" collapsed="false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</row>
    <row r="61" customFormat="false" ht="15" hidden="false" customHeight="false" outlineLevel="0" collapsed="false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</row>
    <row r="62" customFormat="false" ht="15" hidden="false" customHeight="false" outlineLevel="0" collapsed="false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</row>
    <row r="63" customFormat="false" ht="15" hidden="false" customHeight="false" outlineLevel="0" collapsed="false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</row>
    <row r="64" customFormat="false" ht="15" hidden="false" customHeight="false" outlineLevel="0" collapsed="false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</row>
    <row r="65" customFormat="false" ht="15" hidden="false" customHeight="false" outlineLevel="0" collapsed="false">
      <c r="A65" s="32"/>
      <c r="B65" s="45" t="s">
        <v>573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</row>
    <row r="66" customFormat="false" ht="15" hidden="false" customHeight="false" outlineLevel="0" collapsed="false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</row>
    <row r="67" customFormat="false" ht="15" hidden="false" customHeight="false" outlineLevel="0" collapsed="false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</row>
  </sheetData>
  <mergeCells count="28">
    <mergeCell ref="C4:D4"/>
    <mergeCell ref="G4:H4"/>
    <mergeCell ref="K4:L4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1:D11"/>
    <mergeCell ref="E11:G11"/>
    <mergeCell ref="H11:J11"/>
    <mergeCell ref="K11:M11"/>
    <mergeCell ref="B12:D12"/>
    <mergeCell ref="E12:G12"/>
    <mergeCell ref="H12:J12"/>
    <mergeCell ref="K12:M12"/>
    <mergeCell ref="B13:D13"/>
    <mergeCell ref="E13:G13"/>
    <mergeCell ref="H13:J13"/>
    <mergeCell ref="K13:M13"/>
    <mergeCell ref="B15:M15"/>
  </mergeCells>
  <conditionalFormatting sqref="B12:D12">
    <cfRule type="iconSet" priority="2">
      <iconSet iconSet="3Arrows">
        <cfvo type="num" val="-10"/>
        <cfvo type="num" val="-0.02"/>
        <cfvo type="num" val="0.02"/>
      </iconSet>
    </cfRule>
  </conditionalFormatting>
  <conditionalFormatting sqref="E12:G12">
    <cfRule type="iconSet" priority="3">
      <iconSet iconSet="3TrafficLights1">
        <cfvo type="num" val="0"/>
        <cfvo type="num" val="0.9"/>
        <cfvo type="num" val="1"/>
      </iconSet>
    </cfRule>
  </conditionalFormatting>
  <dataValidations count="3">
    <dataValidation allowBlank="false" errorStyle="stop" operator="between" showDropDown="false" showErrorMessage="false" showInputMessage="false" sqref="C4" type="list">
      <formula1>"All,Central,East,North,South,West"</formula1>
      <formula2>0</formula2>
    </dataValidation>
    <dataValidation allowBlank="false" errorStyle="stop" operator="between" showDropDown="false" showErrorMessage="false" showInputMessage="false" sqref="G4" type="list">
      <formula1>"All,Appliances,Electronics,Furniture"</formula1>
      <formula2>0</formula2>
    </dataValidation>
    <dataValidation allowBlank="false" errorStyle="stop" operator="between" showDropDown="false" showErrorMessage="false" showInputMessage="false" sqref="K4" type="list">
      <formula1>"All,Cash,Credit Card,Debit Card,PayPal"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4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46" t="s">
        <v>574</v>
      </c>
    </row>
    <row r="3" customFormat="false" ht="15" hidden="false" customHeight="false" outlineLevel="0" collapsed="false">
      <c r="A3" s="14" t="s">
        <v>575</v>
      </c>
      <c r="B3" s="18" t="str">
        <f aca="false">IF(Dashboard!C4="All","*",Dashboard!C4)</f>
        <v>*</v>
      </c>
    </row>
    <row r="4" customFormat="false" ht="15" hidden="false" customHeight="false" outlineLevel="0" collapsed="false">
      <c r="A4" s="14" t="s">
        <v>576</v>
      </c>
      <c r="B4" s="18" t="str">
        <f aca="false">IF(Dashboard!G4="All","*",Dashboard!G4)</f>
        <v>*</v>
      </c>
    </row>
    <row r="5" customFormat="false" ht="15" hidden="false" customHeight="false" outlineLevel="0" collapsed="false">
      <c r="A5" s="14" t="s">
        <v>577</v>
      </c>
      <c r="B5" s="18" t="str">
        <f aca="false">IF(Dashboard!K4="All","*",Dashboard!K4)</f>
        <v>*</v>
      </c>
    </row>
    <row r="8" customFormat="false" ht="15" hidden="false" customHeight="false" outlineLevel="0" collapsed="false">
      <c r="A8" s="14" t="s">
        <v>578</v>
      </c>
      <c r="B8" s="21" t="n">
        <f aca="false">SUMIFS('Raw Data'!$N$2:$N$251,'Raw Data'!$K$2:$K$251,$B$3,'Raw Data'!$G$2:$G$251,$B$4,'Raw Data'!$J$2:$J$251,$B$5)</f>
        <v>229192.47</v>
      </c>
    </row>
    <row r="9" customFormat="false" ht="15" hidden="false" customHeight="false" outlineLevel="0" collapsed="false">
      <c r="A9" s="14" t="s">
        <v>517</v>
      </c>
      <c r="B9" s="17" t="n">
        <f aca="false">COUNTIFS('Raw Data'!$K$2:$K$251,$B$3,'Raw Data'!$G$2:$G$251,$B$4,'Raw Data'!$J$2:$J$251,$B$5)</f>
        <v>250</v>
      </c>
    </row>
    <row r="10" customFormat="false" ht="15" hidden="false" customHeight="false" outlineLevel="0" collapsed="false">
      <c r="A10" s="14" t="s">
        <v>579</v>
      </c>
      <c r="B10" s="17" t="n">
        <f aca="false">SUMIFS('Raw Data'!$H$2:$H$251,'Raw Data'!$K$2:$K$251,$B$3,'Raw Data'!$G$2:$G$251,$B$4,'Raw Data'!$J$2:$J$251,$B$5)</f>
        <v>753</v>
      </c>
    </row>
    <row r="11" customFormat="false" ht="15" hidden="false" customHeight="false" outlineLevel="0" collapsed="false">
      <c r="A11" s="14" t="s">
        <v>580</v>
      </c>
      <c r="B11" s="21" t="n">
        <f aca="false">IFERROR(B8/B9,0)</f>
        <v>916.76988</v>
      </c>
    </row>
    <row r="12" customFormat="false" ht="15" hidden="false" customHeight="false" outlineLevel="0" collapsed="false">
      <c r="A12" s="14" t="s">
        <v>581</v>
      </c>
      <c r="B12" s="25" t="n">
        <f aca="false">B8/Analysis!B39</f>
        <v>1</v>
      </c>
    </row>
    <row r="13" customFormat="false" ht="15" hidden="false" customHeight="false" outlineLevel="0" collapsed="false">
      <c r="A13" s="14" t="s">
        <v>582</v>
      </c>
      <c r="B13" s="21" t="n">
        <f aca="false">Analysis!E180</f>
        <v>916.76988</v>
      </c>
    </row>
    <row r="14" customFormat="false" ht="15" hidden="false" customHeight="false" outlineLevel="0" collapsed="false">
      <c r="A14" s="14" t="s">
        <v>583</v>
      </c>
      <c r="B14" s="21" t="n">
        <f aca="false">C38</f>
        <v>19899.38</v>
      </c>
    </row>
    <row r="15" customFormat="false" ht="15" hidden="false" customHeight="false" outlineLevel="0" collapsed="false">
      <c r="A15" s="14" t="s">
        <v>584</v>
      </c>
      <c r="B15" s="21" t="n">
        <f aca="false">C37</f>
        <v>16069.38</v>
      </c>
    </row>
    <row r="16" customFormat="false" ht="15" hidden="false" customHeight="false" outlineLevel="0" collapsed="false">
      <c r="A16" s="14" t="s">
        <v>585</v>
      </c>
      <c r="B16" s="25" t="n">
        <f aca="false">IFERROR(B14/B15-1,0)</f>
        <v>0.238341491706587</v>
      </c>
    </row>
    <row r="17" customFormat="false" ht="15" hidden="false" customHeight="false" outlineLevel="0" collapsed="false">
      <c r="A17" s="14" t="s">
        <v>586</v>
      </c>
      <c r="B17" s="21" t="n">
        <f aca="false">AVERAGE(C28:C38)</f>
        <v>18299.3918181818</v>
      </c>
    </row>
    <row r="18" customFormat="false" ht="15" hidden="false" customHeight="false" outlineLevel="0" collapsed="false">
      <c r="A18" s="14" t="s">
        <v>587</v>
      </c>
      <c r="B18" s="47" t="n">
        <f aca="false">IFERROR(B14/B17,0)</f>
        <v>1.08743395396499</v>
      </c>
    </row>
    <row r="19" customFormat="false" ht="15" hidden="false" customHeight="false" outlineLevel="0" collapsed="false">
      <c r="A19" s="14" t="s">
        <v>588</v>
      </c>
      <c r="B19" s="18" t="str">
        <f aca="false">IF(H43=0,"-",G43)</f>
        <v>Laptop</v>
      </c>
    </row>
    <row r="20" customFormat="false" ht="15" hidden="false" customHeight="false" outlineLevel="0" collapsed="false">
      <c r="A20" s="14" t="s">
        <v>589</v>
      </c>
      <c r="B20" s="21" t="n">
        <f aca="false">H43</f>
        <v>67499.25</v>
      </c>
    </row>
    <row r="21" customFormat="false" ht="15" hidden="false" customHeight="false" outlineLevel="0" collapsed="false">
      <c r="A21" s="14" t="s">
        <v>590</v>
      </c>
      <c r="B21" s="18" t="str">
        <f aca="false">IF(H82=0,"-",G82)</f>
        <v>Mark Carter</v>
      </c>
    </row>
    <row r="22" customFormat="false" ht="15" hidden="false" customHeight="false" outlineLevel="0" collapsed="false">
      <c r="A22" s="14" t="s">
        <v>591</v>
      </c>
      <c r="B22" s="21" t="n">
        <f aca="false">H82</f>
        <v>15659.65</v>
      </c>
    </row>
    <row r="23" customFormat="false" ht="15" hidden="false" customHeight="false" outlineLevel="0" collapsed="false">
      <c r="A23" s="14" t="s">
        <v>592</v>
      </c>
      <c r="B23" s="18" t="str">
        <f aca="false">IF(B8=0,"-",INDEX(B28:B38,MATCH(MAX(C28:C38),C28:C38,0)))</f>
        <v>Jan-25</v>
      </c>
    </row>
    <row r="27" customFormat="false" ht="15" hidden="false" customHeight="false" outlineLevel="0" collapsed="false">
      <c r="A27" s="3" t="s">
        <v>495</v>
      </c>
      <c r="B27" s="3" t="s">
        <v>496</v>
      </c>
      <c r="C27" s="3" t="s">
        <v>497</v>
      </c>
      <c r="D27" s="3" t="s">
        <v>499</v>
      </c>
    </row>
    <row r="28" customFormat="false" ht="15" hidden="false" customHeight="false" outlineLevel="0" collapsed="false">
      <c r="A28" s="15" t="n">
        <v>45413</v>
      </c>
      <c r="B28" s="18" t="str">
        <f aca="false">TEXT(A28,"mmm-yy")</f>
        <v>May-24</v>
      </c>
      <c r="C28" s="21" t="n">
        <f aca="false">SUMIFS('Raw Data'!$N$2:$N$251,'Raw Data'!$B$2:$B$251,"&gt;="&amp;A28,'Raw Data'!$B$2:$B$251,"&lt;="&amp;EOMONTH(A28,0),'Raw Data'!$K$2:$K$251,$B$3,'Raw Data'!$G$2:$G$251,$B$4,'Raw Data'!$J$2:$J$251,$B$5)</f>
        <v>17039.35</v>
      </c>
      <c r="D28" s="25"/>
    </row>
    <row r="29" customFormat="false" ht="15" hidden="false" customHeight="false" outlineLevel="0" collapsed="false">
      <c r="A29" s="15" t="n">
        <v>45444</v>
      </c>
      <c r="B29" s="18" t="str">
        <f aca="false">TEXT(A29,"mmm-yy")</f>
        <v>Jun-24</v>
      </c>
      <c r="C29" s="21" t="n">
        <f aca="false">SUMIFS('Raw Data'!$N$2:$N$251,'Raw Data'!$B$2:$B$251,"&gt;="&amp;A29,'Raw Data'!$B$2:$B$251,"&lt;="&amp;EOMONTH(A29,0),'Raw Data'!$K$2:$K$251,$B$3,'Raw Data'!$G$2:$G$251,$B$4,'Raw Data'!$J$2:$J$251,$B$5)</f>
        <v>19299.45</v>
      </c>
      <c r="D29" s="25" t="n">
        <f aca="false">IFERROR(C29/C28-1,0)</f>
        <v>0.132640036151614</v>
      </c>
    </row>
    <row r="30" customFormat="false" ht="15" hidden="false" customHeight="false" outlineLevel="0" collapsed="false">
      <c r="A30" s="15" t="n">
        <v>45474</v>
      </c>
      <c r="B30" s="18" t="str">
        <f aca="false">TEXT(A30,"mmm-yy")</f>
        <v>Jul-24</v>
      </c>
      <c r="C30" s="21" t="n">
        <f aca="false">SUMIFS('Raw Data'!$N$2:$N$251,'Raw Data'!$B$2:$B$251,"&gt;="&amp;A30,'Raw Data'!$B$2:$B$251,"&lt;="&amp;EOMONTH(A30,0),'Raw Data'!$K$2:$K$251,$B$3,'Raw Data'!$G$2:$G$251,$B$4,'Raw Data'!$J$2:$J$251,$B$5)</f>
        <v>18479.4</v>
      </c>
      <c r="D30" s="25" t="n">
        <f aca="false">IFERROR(C30/C29-1,0)</f>
        <v>-0.0424908481847928</v>
      </c>
    </row>
    <row r="31" customFormat="false" ht="15" hidden="false" customHeight="false" outlineLevel="0" collapsed="false">
      <c r="A31" s="15" t="n">
        <v>45505</v>
      </c>
      <c r="B31" s="18" t="str">
        <f aca="false">TEXT(A31,"mmm-yy")</f>
        <v>Aug-24</v>
      </c>
      <c r="C31" s="21" t="n">
        <f aca="false">SUMIFS('Raw Data'!$N$2:$N$251,'Raw Data'!$B$2:$B$251,"&gt;="&amp;A31,'Raw Data'!$B$2:$B$251,"&lt;="&amp;EOMONTH(A31,0),'Raw Data'!$K$2:$K$251,$B$3,'Raw Data'!$G$2:$G$251,$B$4,'Raw Data'!$J$2:$J$251,$B$5)</f>
        <v>15759.43</v>
      </c>
      <c r="D31" s="25" t="n">
        <f aca="false">IFERROR(C31/C30-1,0)</f>
        <v>-0.147189302682988</v>
      </c>
    </row>
    <row r="32" customFormat="false" ht="15" hidden="false" customHeight="false" outlineLevel="0" collapsed="false">
      <c r="A32" s="15" t="n">
        <v>45536</v>
      </c>
      <c r="B32" s="18" t="str">
        <f aca="false">TEXT(A32,"mmm-yy")</f>
        <v>Sep-24</v>
      </c>
      <c r="C32" s="21" t="n">
        <f aca="false">SUMIFS('Raw Data'!$N$2:$N$251,'Raw Data'!$B$2:$B$251,"&gt;="&amp;A32,'Raw Data'!$B$2:$B$251,"&lt;="&amp;EOMONTH(A32,0),'Raw Data'!$K$2:$K$251,$B$3,'Raw Data'!$G$2:$G$251,$B$4,'Raw Data'!$J$2:$J$251,$B$5)</f>
        <v>12989.51</v>
      </c>
      <c r="D32" s="25" t="n">
        <f aca="false">IFERROR(C32/C31-1,0)</f>
        <v>-0.175762702077423</v>
      </c>
    </row>
    <row r="33" customFormat="false" ht="15" hidden="false" customHeight="false" outlineLevel="0" collapsed="false">
      <c r="A33" s="15" t="n">
        <v>45566</v>
      </c>
      <c r="B33" s="18" t="str">
        <f aca="false">TEXT(A33,"mmm-yy")</f>
        <v>Oct-24</v>
      </c>
      <c r="C33" s="21" t="n">
        <f aca="false">SUMIFS('Raw Data'!$N$2:$N$251,'Raw Data'!$B$2:$B$251,"&gt;="&amp;A33,'Raw Data'!$B$2:$B$251,"&lt;="&amp;EOMONTH(A33,0),'Raw Data'!$K$2:$K$251,$B$3,'Raw Data'!$G$2:$G$251,$B$4,'Raw Data'!$J$2:$J$251,$B$5)</f>
        <v>20609.52</v>
      </c>
      <c r="D33" s="25" t="n">
        <f aca="false">IFERROR(C33/C32-1,0)</f>
        <v>0.58662797903847</v>
      </c>
    </row>
    <row r="34" customFormat="false" ht="15" hidden="false" customHeight="false" outlineLevel="0" collapsed="false">
      <c r="A34" s="15" t="n">
        <v>45597</v>
      </c>
      <c r="B34" s="18" t="str">
        <f aca="false">TEXT(A34,"mmm-yy")</f>
        <v>Nov-24</v>
      </c>
      <c r="C34" s="21" t="n">
        <f aca="false">SUMIFS('Raw Data'!$N$2:$N$251,'Raw Data'!$B$2:$B$251,"&gt;="&amp;A34,'Raw Data'!$B$2:$B$251,"&lt;="&amp;EOMONTH(A34,0),'Raw Data'!$K$2:$K$251,$B$3,'Raw Data'!$G$2:$G$251,$B$4,'Raw Data'!$J$2:$J$251,$B$5)</f>
        <v>12309.44</v>
      </c>
      <c r="D34" s="25" t="n">
        <f aca="false">IFERROR(C34/C33-1,0)</f>
        <v>-0.402730388674748</v>
      </c>
    </row>
    <row r="35" customFormat="false" ht="15" hidden="false" customHeight="false" outlineLevel="0" collapsed="false">
      <c r="A35" s="15" t="n">
        <v>45627</v>
      </c>
      <c r="B35" s="18" t="str">
        <f aca="false">TEXT(A35,"mmm-yy")</f>
        <v>Dec-24</v>
      </c>
      <c r="C35" s="21" t="n">
        <f aca="false">SUMIFS('Raw Data'!$N$2:$N$251,'Raw Data'!$B$2:$B$251,"&gt;="&amp;A35,'Raw Data'!$B$2:$B$251,"&lt;="&amp;EOMONTH(A35,0),'Raw Data'!$K$2:$K$251,$B$3,'Raw Data'!$G$2:$G$251,$B$4,'Raw Data'!$J$2:$J$251,$B$5)</f>
        <v>23039.3</v>
      </c>
      <c r="D35" s="25" t="n">
        <f aca="false">IFERROR(C35/C34-1,0)</f>
        <v>0.871677346816752</v>
      </c>
    </row>
    <row r="36" customFormat="false" ht="15" hidden="false" customHeight="false" outlineLevel="0" collapsed="false">
      <c r="A36" s="15" t="n">
        <v>45658</v>
      </c>
      <c r="B36" s="18" t="str">
        <f aca="false">TEXT(A36,"mmm-yy")</f>
        <v>Jan-25</v>
      </c>
      <c r="C36" s="21" t="n">
        <f aca="false">SUMIFS('Raw Data'!$N$2:$N$251,'Raw Data'!$B$2:$B$251,"&gt;="&amp;A36,'Raw Data'!$B$2:$B$251,"&lt;="&amp;EOMONTH(A36,0),'Raw Data'!$K$2:$K$251,$B$3,'Raw Data'!$G$2:$G$251,$B$4,'Raw Data'!$J$2:$J$251,$B$5)</f>
        <v>25799.15</v>
      </c>
      <c r="D36" s="25" t="n">
        <f aca="false">IFERROR(C36/C35-1,0)</f>
        <v>0.119788795666535</v>
      </c>
    </row>
    <row r="37" customFormat="false" ht="15" hidden="false" customHeight="false" outlineLevel="0" collapsed="false">
      <c r="A37" s="15" t="n">
        <v>45689</v>
      </c>
      <c r="B37" s="18" t="str">
        <f aca="false">TEXT(A37,"mmm-yy")</f>
        <v>Feb-25</v>
      </c>
      <c r="C37" s="21" t="n">
        <f aca="false">SUMIFS('Raw Data'!$N$2:$N$251,'Raw Data'!$B$2:$B$251,"&gt;="&amp;A37,'Raw Data'!$B$2:$B$251,"&lt;="&amp;EOMONTH(A37,0),'Raw Data'!$K$2:$K$251,$B$3,'Raw Data'!$G$2:$G$251,$B$4,'Raw Data'!$J$2:$J$251,$B$5)</f>
        <v>16069.38</v>
      </c>
      <c r="D37" s="25" t="n">
        <f aca="false">IFERROR(C37/C36-1,0)</f>
        <v>-0.377135293217025</v>
      </c>
    </row>
    <row r="38" customFormat="false" ht="15" hidden="false" customHeight="false" outlineLevel="0" collapsed="false">
      <c r="A38" s="15" t="n">
        <v>45717</v>
      </c>
      <c r="B38" s="18" t="str">
        <f aca="false">TEXT(A38,"mmm-yy")</f>
        <v>Mar-25</v>
      </c>
      <c r="C38" s="21" t="n">
        <f aca="false">SUMIFS('Raw Data'!$N$2:$N$251,'Raw Data'!$B$2:$B$251,"&gt;="&amp;A38,'Raw Data'!$B$2:$B$251,"&lt;="&amp;EOMONTH(A38,0),'Raw Data'!$K$2:$K$251,$B$3,'Raw Data'!$G$2:$G$251,$B$4,'Raw Data'!$J$2:$J$251,$B$5)</f>
        <v>19899.38</v>
      </c>
      <c r="D38" s="25" t="n">
        <f aca="false">IFERROR(C38/C37-1,0)</f>
        <v>0.238341491706587</v>
      </c>
    </row>
    <row r="42" customFormat="false" ht="15" hidden="false" customHeight="false" outlineLevel="0" collapsed="false">
      <c r="A42" s="3" t="s">
        <v>467</v>
      </c>
      <c r="B42" s="3" t="s">
        <v>497</v>
      </c>
      <c r="C42" s="3" t="s">
        <v>593</v>
      </c>
      <c r="D42" s="3" t="s">
        <v>519</v>
      </c>
      <c r="E42" s="3"/>
      <c r="F42" s="3" t="s">
        <v>519</v>
      </c>
      <c r="G42" s="3" t="s">
        <v>594</v>
      </c>
      <c r="H42" s="3" t="s">
        <v>497</v>
      </c>
    </row>
    <row r="43" customFormat="false" ht="15" hidden="false" customHeight="false" outlineLevel="0" collapsed="false">
      <c r="A43" s="18" t="s">
        <v>80</v>
      </c>
      <c r="B43" s="21" t="n">
        <f aca="false">SUMIFS('Raw Data'!$N$2:$N$251,'Raw Data'!$F$2:$F$251,A43,'Raw Data'!$K$2:$K$251,$B$3,'Raw Data'!$G$2:$G$251,$B$4,'Raw Data'!$J$2:$J$251,$B$5)</f>
        <v>5219.13</v>
      </c>
      <c r="C43" s="17" t="n">
        <f aca="false">SUMIFS('Raw Data'!$H$2:$H$251,'Raw Data'!$F$2:$F$251,A43,'Raw Data'!$K$2:$K$251,$B$3,'Raw Data'!$G$2:$G$251,$B$4,'Raw Data'!$J$2:$J$251,$B$5)</f>
        <v>87</v>
      </c>
      <c r="D43" s="17" t="n">
        <f aca="false">RANK(B43,$B$43:$B$52)+COUNTIF($B$43:B43,B43)-1</f>
        <v>9</v>
      </c>
      <c r="F43" s="18" t="n">
        <v>1</v>
      </c>
      <c r="G43" s="18" t="str">
        <f aca="false">INDEX($A$43:$A$52,MATCH(F43,$D$43:$D$52,0))</f>
        <v>Laptop</v>
      </c>
      <c r="H43" s="21" t="n">
        <f aca="false">INDEX($B$43:$B$52,MATCH(F43,$D$43:$D$52,0))</f>
        <v>67499.25</v>
      </c>
    </row>
    <row r="44" customFormat="false" ht="15" hidden="false" customHeight="false" outlineLevel="0" collapsed="false">
      <c r="A44" s="18" t="s">
        <v>93</v>
      </c>
      <c r="B44" s="21" t="n">
        <f aca="false">SUMIFS('Raw Data'!$N$2:$N$251,'Raw Data'!$F$2:$F$251,A44,'Raw Data'!$K$2:$K$251,$B$3,'Raw Data'!$G$2:$G$251,$B$4,'Raw Data'!$J$2:$J$251,$B$5)</f>
        <v>15298.98</v>
      </c>
      <c r="C44" s="17" t="n">
        <f aca="false">SUMIFS('Raw Data'!$H$2:$H$251,'Raw Data'!$F$2:$F$251,A44,'Raw Data'!$K$2:$K$251,$B$3,'Raw Data'!$G$2:$G$251,$B$4,'Raw Data'!$J$2:$J$251,$B$5)</f>
        <v>102</v>
      </c>
      <c r="D44" s="17" t="n">
        <f aca="false">RANK(B44,$B$43:$B$52)+COUNTIF($B$43:B44,B44)-1</f>
        <v>5</v>
      </c>
      <c r="F44" s="18" t="n">
        <v>2</v>
      </c>
      <c r="G44" s="18" t="str">
        <f aca="false">INDEX($A$43:$A$52,MATCH(F44,$D$43:$D$52,0))</f>
        <v>Smartphone</v>
      </c>
      <c r="H44" s="21" t="n">
        <f aca="false">INDEX($B$43:$B$52,MATCH(F44,$D$43:$D$52,0))</f>
        <v>67199.04</v>
      </c>
    </row>
    <row r="45" customFormat="false" ht="15" hidden="false" customHeight="false" outlineLevel="0" collapsed="false">
      <c r="A45" s="18" t="s">
        <v>166</v>
      </c>
      <c r="B45" s="21" t="n">
        <f aca="false">SUMIFS('Raw Data'!$N$2:$N$251,'Raw Data'!$F$2:$F$251,A45,'Raw Data'!$K$2:$K$251,$B$3,'Raw Data'!$G$2:$G$251,$B$4,'Raw Data'!$J$2:$J$251,$B$5)</f>
        <v>3119.61</v>
      </c>
      <c r="C45" s="17" t="n">
        <f aca="false">SUMIFS('Raw Data'!$H$2:$H$251,'Raw Data'!$F$2:$F$251,A45,'Raw Data'!$K$2:$K$251,$B$3,'Raw Data'!$G$2:$G$251,$B$4,'Raw Data'!$J$2:$J$251,$B$5)</f>
        <v>39</v>
      </c>
      <c r="D45" s="17" t="n">
        <f aca="false">RANK(B45,$B$43:$B$52)+COUNTIF($B$43:B45,B45)-1</f>
        <v>10</v>
      </c>
      <c r="F45" s="18" t="n">
        <v>3</v>
      </c>
      <c r="G45" s="18" t="str">
        <f aca="false">INDEX($A$43:$A$52,MATCH(F45,$D$43:$D$52,0))</f>
        <v>Desk</v>
      </c>
      <c r="H45" s="21" t="n">
        <f aca="false">INDEX($B$43:$B$52,MATCH(F45,$D$43:$D$52,0))</f>
        <v>23399.22</v>
      </c>
    </row>
    <row r="46" customFormat="false" ht="15" hidden="false" customHeight="false" outlineLevel="0" collapsed="false">
      <c r="A46" s="18" t="s">
        <v>154</v>
      </c>
      <c r="B46" s="21" t="n">
        <f aca="false">SUMIFS('Raw Data'!$N$2:$N$251,'Raw Data'!$F$2:$F$251,A46,'Raw Data'!$K$2:$K$251,$B$3,'Raw Data'!$G$2:$G$251,$B$4,'Raw Data'!$J$2:$J$251,$B$5)</f>
        <v>23399.22</v>
      </c>
      <c r="C46" s="17" t="n">
        <f aca="false">SUMIFS('Raw Data'!$H$2:$H$251,'Raw Data'!$F$2:$F$251,A46,'Raw Data'!$K$2:$K$251,$B$3,'Raw Data'!$G$2:$G$251,$B$4,'Raw Data'!$J$2:$J$251,$B$5)</f>
        <v>78</v>
      </c>
      <c r="D46" s="17" t="n">
        <f aca="false">RANK(B46,$B$43:$B$52)+COUNTIF($B$43:B46,B46)-1</f>
        <v>3</v>
      </c>
      <c r="F46" s="18" t="n">
        <v>4</v>
      </c>
      <c r="G46" s="18" t="str">
        <f aca="false">INDEX($A$43:$A$52,MATCH(F46,$D$43:$D$52,0))</f>
        <v>Monitor</v>
      </c>
      <c r="H46" s="21" t="n">
        <f aca="false">INDEX($B$43:$B$52,MATCH(F46,$D$43:$D$52,0))</f>
        <v>21999.12</v>
      </c>
    </row>
    <row r="47" customFormat="false" ht="15" hidden="false" customHeight="false" outlineLevel="0" collapsed="false">
      <c r="A47" s="18" t="s">
        <v>101</v>
      </c>
      <c r="B47" s="21" t="n">
        <f aca="false">SUMIFS('Raw Data'!$N$2:$N$251,'Raw Data'!$F$2:$F$251,A47,'Raw Data'!$K$2:$K$251,$B$3,'Raw Data'!$G$2:$G$251,$B$4,'Raw Data'!$J$2:$J$251,$B$5)</f>
        <v>7049.53</v>
      </c>
      <c r="C47" s="17" t="n">
        <f aca="false">SUMIFS('Raw Data'!$H$2:$H$251,'Raw Data'!$F$2:$F$251,A47,'Raw Data'!$K$2:$K$251,$B$3,'Raw Data'!$G$2:$G$251,$B$4,'Raw Data'!$J$2:$J$251,$B$5)</f>
        <v>47</v>
      </c>
      <c r="D47" s="17" t="n">
        <f aca="false">RANK(B47,$B$43:$B$52)+COUNTIF($B$43:B47,B47)-1</f>
        <v>8</v>
      </c>
      <c r="F47" s="18" t="n">
        <v>5</v>
      </c>
      <c r="G47" s="18" t="str">
        <f aca="false">INDEX($A$43:$A$52,MATCH(F47,$D$43:$D$52,0))</f>
        <v>Bookshelf</v>
      </c>
      <c r="H47" s="21" t="n">
        <f aca="false">INDEX($B$43:$B$52,MATCH(F47,$D$43:$D$52,0))</f>
        <v>15298.98</v>
      </c>
    </row>
    <row r="48" customFormat="false" ht="15" hidden="false" customHeight="false" outlineLevel="0" collapsed="false">
      <c r="A48" s="18" t="s">
        <v>160</v>
      </c>
      <c r="B48" s="21" t="n">
        <f aca="false">SUMIFS('Raw Data'!$N$2:$N$251,'Raw Data'!$F$2:$F$251,A48,'Raw Data'!$K$2:$K$251,$B$3,'Raw Data'!$G$2:$G$251,$B$4,'Raw Data'!$J$2:$J$251,$B$5)</f>
        <v>8009.11</v>
      </c>
      <c r="C48" s="17" t="n">
        <f aca="false">SUMIFS('Raw Data'!$H$2:$H$251,'Raw Data'!$F$2:$F$251,A48,'Raw Data'!$K$2:$K$251,$B$3,'Raw Data'!$G$2:$G$251,$B$4,'Raw Data'!$J$2:$J$251,$B$5)</f>
        <v>89</v>
      </c>
      <c r="D48" s="17" t="n">
        <f aca="false">RANK(B48,$B$43:$B$52)+COUNTIF($B$43:B48,B48)-1</f>
        <v>7</v>
      </c>
      <c r="F48" s="18" t="n">
        <v>6</v>
      </c>
      <c r="G48" s="18" t="str">
        <f aca="false">INDEX($A$43:$A$52,MATCH(F48,$D$43:$D$52,0))</f>
        <v>Office Chair</v>
      </c>
      <c r="H48" s="21" t="n">
        <f aca="false">INDEX($B$43:$B$52,MATCH(F48,$D$43:$D$52,0))</f>
        <v>10399.48</v>
      </c>
    </row>
    <row r="49" customFormat="false" ht="15" hidden="false" customHeight="false" outlineLevel="0" collapsed="false">
      <c r="A49" s="18" t="s">
        <v>110</v>
      </c>
      <c r="B49" s="21" t="n">
        <f aca="false">SUMIFS('Raw Data'!$N$2:$N$251,'Raw Data'!$F$2:$F$251,A49,'Raw Data'!$K$2:$K$251,$B$3,'Raw Data'!$G$2:$G$251,$B$4,'Raw Data'!$J$2:$J$251,$B$5)</f>
        <v>67499.25</v>
      </c>
      <c r="C49" s="17" t="n">
        <f aca="false">SUMIFS('Raw Data'!$H$2:$H$251,'Raw Data'!$F$2:$F$251,A49,'Raw Data'!$K$2:$K$251,$B$3,'Raw Data'!$G$2:$G$251,$B$4,'Raw Data'!$J$2:$J$251,$B$5)</f>
        <v>75</v>
      </c>
      <c r="D49" s="17" t="n">
        <f aca="false">RANK(B49,$B$43:$B$52)+COUNTIF($B$43:B49,B49)-1</f>
        <v>1</v>
      </c>
      <c r="F49" s="18" t="n">
        <v>7</v>
      </c>
      <c r="G49" s="18" t="str">
        <f aca="false">INDEX($A$43:$A$52,MATCH(F49,$D$43:$D$52,0))</f>
        <v>Keyboard</v>
      </c>
      <c r="H49" s="21" t="n">
        <f aca="false">INDEX($B$43:$B$52,MATCH(F49,$D$43:$D$52,0))</f>
        <v>8009.11</v>
      </c>
    </row>
    <row r="50" customFormat="false" ht="15" hidden="false" customHeight="false" outlineLevel="0" collapsed="false">
      <c r="A50" s="18" t="s">
        <v>66</v>
      </c>
      <c r="B50" s="21" t="n">
        <f aca="false">SUMIFS('Raw Data'!$N$2:$N$251,'Raw Data'!$F$2:$F$251,A50,'Raw Data'!$K$2:$K$251,$B$3,'Raw Data'!$G$2:$G$251,$B$4,'Raw Data'!$J$2:$J$251,$B$5)</f>
        <v>21999.12</v>
      </c>
      <c r="C50" s="17" t="n">
        <f aca="false">SUMIFS('Raw Data'!$H$2:$H$251,'Raw Data'!$F$2:$F$251,A50,'Raw Data'!$K$2:$K$251,$B$3,'Raw Data'!$G$2:$G$251,$B$4,'Raw Data'!$J$2:$J$251,$B$5)</f>
        <v>88</v>
      </c>
      <c r="D50" s="17" t="n">
        <f aca="false">RANK(B50,$B$43:$B$52)+COUNTIF($B$43:B50,B50)-1</f>
        <v>4</v>
      </c>
      <c r="F50" s="18" t="n">
        <v>8</v>
      </c>
      <c r="G50" s="18" t="str">
        <f aca="false">INDEX($A$43:$A$52,MATCH(F50,$D$43:$D$52,0))</f>
        <v>Headphones</v>
      </c>
      <c r="H50" s="21" t="n">
        <f aca="false">INDEX($B$43:$B$52,MATCH(F50,$D$43:$D$52,0))</f>
        <v>7049.53</v>
      </c>
    </row>
    <row r="51" customFormat="false" ht="15" hidden="false" customHeight="false" outlineLevel="0" collapsed="false">
      <c r="A51" s="18" t="s">
        <v>172</v>
      </c>
      <c r="B51" s="21" t="n">
        <f aca="false">SUMIFS('Raw Data'!$N$2:$N$251,'Raw Data'!$F$2:$F$251,A51,'Raw Data'!$K$2:$K$251,$B$3,'Raw Data'!$G$2:$G$251,$B$4,'Raw Data'!$J$2:$J$251,$B$5)</f>
        <v>10399.48</v>
      </c>
      <c r="C51" s="17" t="n">
        <f aca="false">SUMIFS('Raw Data'!$H$2:$H$251,'Raw Data'!$F$2:$F$251,A51,'Raw Data'!$K$2:$K$251,$B$3,'Raw Data'!$G$2:$G$251,$B$4,'Raw Data'!$J$2:$J$251,$B$5)</f>
        <v>52</v>
      </c>
      <c r="D51" s="17" t="n">
        <f aca="false">RANK(B51,$B$43:$B$52)+COUNTIF($B$43:B51,B51)-1</f>
        <v>6</v>
      </c>
      <c r="F51" s="18" t="n">
        <v>9</v>
      </c>
      <c r="G51" s="18" t="str">
        <f aca="false">INDEX($A$43:$A$52,MATCH(F51,$D$43:$D$52,0))</f>
        <v>Blender</v>
      </c>
      <c r="H51" s="21" t="n">
        <f aca="false">INDEX($B$43:$B$52,MATCH(F51,$D$43:$D$52,0))</f>
        <v>5219.13</v>
      </c>
    </row>
    <row r="52" customFormat="false" ht="15" hidden="false" customHeight="false" outlineLevel="0" collapsed="false">
      <c r="A52" s="18" t="s">
        <v>129</v>
      </c>
      <c r="B52" s="21" t="n">
        <f aca="false">SUMIFS('Raw Data'!$N$2:$N$251,'Raw Data'!$F$2:$F$251,A52,'Raw Data'!$K$2:$K$251,$B$3,'Raw Data'!$G$2:$G$251,$B$4,'Raw Data'!$J$2:$J$251,$B$5)</f>
        <v>67199.04</v>
      </c>
      <c r="C52" s="17" t="n">
        <f aca="false">SUMIFS('Raw Data'!$H$2:$H$251,'Raw Data'!$F$2:$F$251,A52,'Raw Data'!$K$2:$K$251,$B$3,'Raw Data'!$G$2:$G$251,$B$4,'Raw Data'!$J$2:$J$251,$B$5)</f>
        <v>96</v>
      </c>
      <c r="D52" s="17" t="n">
        <f aca="false">RANK(B52,$B$43:$B$52)+COUNTIF($B$43:B52,B52)-1</f>
        <v>2</v>
      </c>
      <c r="F52" s="18" t="n">
        <v>10</v>
      </c>
      <c r="G52" s="18" t="str">
        <f aca="false">INDEX($A$43:$A$52,MATCH(F52,$D$43:$D$52,0))</f>
        <v>Coffee Maker</v>
      </c>
      <c r="H52" s="21" t="n">
        <f aca="false">INDEX($B$43:$B$52,MATCH(F52,$D$43:$D$52,0))</f>
        <v>3119.61</v>
      </c>
    </row>
    <row r="57" customFormat="false" ht="15" hidden="false" customHeight="false" outlineLevel="0" collapsed="false">
      <c r="A57" s="3" t="s">
        <v>54</v>
      </c>
      <c r="B57" s="3" t="s">
        <v>497</v>
      </c>
    </row>
    <row r="58" customFormat="false" ht="15" hidden="false" customHeight="false" outlineLevel="0" collapsed="false">
      <c r="A58" s="18" t="s">
        <v>69</v>
      </c>
      <c r="B58" s="21" t="n">
        <f aca="false">SUMIFS('Raw Data'!$N$2:$N$251,'Raw Data'!$K$2:$K$251,A58,'Raw Data'!$K$2:$K$251,$B$3,'Raw Data'!$G$2:$G$251,$B$4,'Raw Data'!$J$2:$J$251,$B$5)</f>
        <v>41288.34</v>
      </c>
    </row>
    <row r="59" customFormat="false" ht="15" hidden="false" customHeight="false" outlineLevel="0" collapsed="false">
      <c r="A59" s="18" t="s">
        <v>111</v>
      </c>
      <c r="B59" s="21" t="n">
        <f aca="false">SUMIFS('Raw Data'!$N$2:$N$251,'Raw Data'!$K$2:$K$251,A59,'Raw Data'!$K$2:$K$251,$B$3,'Raw Data'!$G$2:$G$251,$B$4,'Raw Data'!$J$2:$J$251,$B$5)</f>
        <v>59288.39</v>
      </c>
    </row>
    <row r="60" customFormat="false" ht="15" hidden="false" customHeight="false" outlineLevel="0" collapsed="false">
      <c r="A60" s="18" t="s">
        <v>88</v>
      </c>
      <c r="B60" s="21" t="n">
        <f aca="false">SUMIFS('Raw Data'!$N$2:$N$251,'Raw Data'!$K$2:$K$251,A60,'Raw Data'!$K$2:$K$251,$B$3,'Raw Data'!$G$2:$G$251,$B$4,'Raw Data'!$J$2:$J$251,$B$5)</f>
        <v>50808.31</v>
      </c>
    </row>
    <row r="61" customFormat="false" ht="15" hidden="false" customHeight="false" outlineLevel="0" collapsed="false">
      <c r="A61" s="18" t="s">
        <v>83</v>
      </c>
      <c r="B61" s="21" t="n">
        <f aca="false">SUMIFS('Raw Data'!$N$2:$N$251,'Raw Data'!$K$2:$K$251,A61,'Raw Data'!$K$2:$K$251,$B$3,'Raw Data'!$G$2:$G$251,$B$4,'Raw Data'!$J$2:$J$251,$B$5)</f>
        <v>36398.75</v>
      </c>
    </row>
    <row r="62" customFormat="false" ht="15" hidden="false" customHeight="false" outlineLevel="0" collapsed="false">
      <c r="A62" s="18" t="s">
        <v>98</v>
      </c>
      <c r="B62" s="21" t="n">
        <f aca="false">SUMIFS('Raw Data'!$N$2:$N$251,'Raw Data'!$K$2:$K$251,A62,'Raw Data'!$K$2:$K$251,$B$3,'Raw Data'!$G$2:$G$251,$B$4,'Raw Data'!$J$2:$J$251,$B$5)</f>
        <v>41408.68</v>
      </c>
    </row>
    <row r="66" customFormat="false" ht="15" hidden="false" customHeight="false" outlineLevel="0" collapsed="false">
      <c r="A66" s="3" t="s">
        <v>50</v>
      </c>
      <c r="B66" s="3" t="s">
        <v>497</v>
      </c>
    </row>
    <row r="67" customFormat="false" ht="15" hidden="false" customHeight="false" outlineLevel="0" collapsed="false">
      <c r="A67" s="18" t="s">
        <v>81</v>
      </c>
      <c r="B67" s="21" t="n">
        <f aca="false">SUMIFS('Raw Data'!$N$2:$N$251,'Raw Data'!$G$2:$G$251,A67,'Raw Data'!$K$2:$K$251,$B$3,'Raw Data'!$G$2:$G$251,$B$4,'Raw Data'!$J$2:$J$251,$B$5)</f>
        <v>8338.74</v>
      </c>
    </row>
    <row r="68" customFormat="false" ht="15" hidden="false" customHeight="false" outlineLevel="0" collapsed="false">
      <c r="A68" s="18" t="s">
        <v>67</v>
      </c>
      <c r="B68" s="21" t="n">
        <f aca="false">SUMIFS('Raw Data'!$N$2:$N$251,'Raw Data'!$G$2:$G$251,A68,'Raw Data'!$K$2:$K$251,$B$3,'Raw Data'!$G$2:$G$251,$B$4,'Raw Data'!$J$2:$J$251,$B$5)</f>
        <v>171756.05</v>
      </c>
    </row>
    <row r="69" customFormat="false" ht="15" hidden="false" customHeight="false" outlineLevel="0" collapsed="false">
      <c r="A69" s="18" t="s">
        <v>94</v>
      </c>
      <c r="B69" s="21" t="n">
        <f aca="false">SUMIFS('Raw Data'!$N$2:$N$251,'Raw Data'!$G$2:$G$251,A69,'Raw Data'!$K$2:$K$251,$B$3,'Raw Data'!$G$2:$G$251,$B$4,'Raw Data'!$J$2:$J$251,$B$5)</f>
        <v>49097.68</v>
      </c>
    </row>
    <row r="73" customFormat="false" ht="15" hidden="false" customHeight="false" outlineLevel="0" collapsed="false">
      <c r="A73" s="3" t="s">
        <v>547</v>
      </c>
      <c r="B73" s="3" t="s">
        <v>497</v>
      </c>
    </row>
    <row r="74" customFormat="false" ht="15" hidden="false" customHeight="false" outlineLevel="0" collapsed="false">
      <c r="A74" s="18" t="s">
        <v>68</v>
      </c>
      <c r="B74" s="21" t="n">
        <f aca="false">SUMIFS('Raw Data'!$N$2:$N$251,'Raw Data'!$J$2:$J$251,A74,'Raw Data'!$K$2:$K$251,$B$3,'Raw Data'!$G$2:$G$251,$B$4,'Raw Data'!$J$2:$J$251,$B$5)</f>
        <v>57427.79</v>
      </c>
    </row>
    <row r="75" customFormat="false" ht="15" hidden="false" customHeight="false" outlineLevel="0" collapsed="false">
      <c r="A75" s="18" t="s">
        <v>74</v>
      </c>
      <c r="B75" s="21" t="n">
        <f aca="false">SUMIFS('Raw Data'!$N$2:$N$251,'Raw Data'!$J$2:$J$251,A75,'Raw Data'!$K$2:$K$251,$B$3,'Raw Data'!$G$2:$G$251,$B$4,'Raw Data'!$J$2:$J$251,$B$5)</f>
        <v>61447.96</v>
      </c>
    </row>
    <row r="76" customFormat="false" ht="15" hidden="false" customHeight="false" outlineLevel="0" collapsed="false">
      <c r="A76" s="18" t="s">
        <v>105</v>
      </c>
      <c r="B76" s="21" t="n">
        <f aca="false">SUMIFS('Raw Data'!$N$2:$N$251,'Raw Data'!$J$2:$J$251,A76,'Raw Data'!$K$2:$K$251,$B$3,'Raw Data'!$G$2:$G$251,$B$4,'Raw Data'!$J$2:$J$251,$B$5)</f>
        <v>52118.31</v>
      </c>
    </row>
    <row r="77" customFormat="false" ht="15" hidden="false" customHeight="false" outlineLevel="0" collapsed="false">
      <c r="A77" s="18" t="s">
        <v>82</v>
      </c>
      <c r="B77" s="21" t="n">
        <f aca="false">SUMIFS('Raw Data'!$N$2:$N$251,'Raw Data'!$J$2:$J$251,A77,'Raw Data'!$K$2:$K$251,$B$3,'Raw Data'!$G$2:$G$251,$B$4,'Raw Data'!$J$2:$J$251,$B$5)</f>
        <v>58198.41</v>
      </c>
    </row>
    <row r="81" customFormat="false" ht="15" hidden="false" customHeight="false" outlineLevel="0" collapsed="false">
      <c r="A81" s="3" t="s">
        <v>466</v>
      </c>
      <c r="B81" s="3" t="s">
        <v>513</v>
      </c>
      <c r="C81" s="3" t="s">
        <v>497</v>
      </c>
      <c r="D81" s="3" t="s">
        <v>519</v>
      </c>
      <c r="E81" s="3"/>
      <c r="F81" s="3" t="s">
        <v>519</v>
      </c>
      <c r="G81" s="3" t="s">
        <v>595</v>
      </c>
      <c r="H81" s="3" t="s">
        <v>497</v>
      </c>
    </row>
    <row r="82" customFormat="false" ht="15" hidden="false" customHeight="false" outlineLevel="0" collapsed="false">
      <c r="A82" s="18" t="str">
        <f aca="false">Analysis!B85</f>
        <v>John Smith</v>
      </c>
      <c r="B82" s="18" t="str">
        <f aca="false">Analysis!A85</f>
        <v>CUST001</v>
      </c>
      <c r="C82" s="21" t="n">
        <f aca="false">SUMIFS('Raw Data'!$N$2:$N$251,'Raw Data'!$C$2:$C$251,B82,'Raw Data'!$K$2:$K$251,$B$3,'Raw Data'!$G$2:$G$251,$B$4,'Raw Data'!$J$2:$J$251,$B$5)</f>
        <v>599.96</v>
      </c>
      <c r="D82" s="17" t="n">
        <f aca="false">RANK(C82,$C$82:$C$131)+COUNTIF($C$82:C82,C82)-1</f>
        <v>47</v>
      </c>
      <c r="F82" s="18" t="n">
        <v>1</v>
      </c>
      <c r="G82" s="18" t="str">
        <f aca="false">INDEX($A$82:$A$131,MATCH(F82,$D$82:$D$131,0))</f>
        <v>Mark Carter</v>
      </c>
      <c r="H82" s="21" t="n">
        <f aca="false">INDEX($C$82:$C$131,MATCH(F82,$D$82:$D$131,0))</f>
        <v>15659.65</v>
      </c>
    </row>
    <row r="83" customFormat="false" ht="15" hidden="false" customHeight="false" outlineLevel="0" collapsed="false">
      <c r="A83" s="18" t="str">
        <f aca="false">Analysis!B86</f>
        <v>Emma Wilson</v>
      </c>
      <c r="B83" s="18" t="str">
        <f aca="false">Analysis!A86</f>
        <v>CUST002</v>
      </c>
      <c r="C83" s="21" t="n">
        <f aca="false">SUMIFS('Raw Data'!$N$2:$N$251,'Raw Data'!$C$2:$C$251,B83,'Raw Data'!$K$2:$K$251,$B$3,'Raw Data'!$G$2:$G$251,$B$4,'Raw Data'!$J$2:$J$251,$B$5)</f>
        <v>1229.88</v>
      </c>
      <c r="D83" s="17" t="n">
        <f aca="false">RANK(C83,$C$82:$C$131)+COUNTIF($C$82:C83,C83)-1</f>
        <v>44</v>
      </c>
      <c r="F83" s="18" t="n">
        <v>2</v>
      </c>
      <c r="G83" s="18" t="str">
        <f aca="false">INDEX($A$82:$A$131,MATCH(F83,$D$82:$D$131,0))</f>
        <v>Edward Mitchell</v>
      </c>
      <c r="H83" s="21" t="n">
        <f aca="false">INDEX($C$82:$C$131,MATCH(F83,$D$82:$D$131,0))</f>
        <v>11919.77</v>
      </c>
    </row>
    <row r="84" customFormat="false" ht="15" hidden="false" customHeight="false" outlineLevel="0" collapsed="false">
      <c r="A84" s="18" t="str">
        <f aca="false">Analysis!B87</f>
        <v>Michael Brown</v>
      </c>
      <c r="B84" s="18" t="str">
        <f aca="false">Analysis!A87</f>
        <v>CUST003</v>
      </c>
      <c r="C84" s="21" t="n">
        <f aca="false">SUMIFS('Raw Data'!$N$2:$N$251,'Raw Data'!$C$2:$C$251,B84,'Raw Data'!$K$2:$K$251,$B$3,'Raw Data'!$G$2:$G$251,$B$4,'Raw Data'!$J$2:$J$251,$B$5)</f>
        <v>6169.74</v>
      </c>
      <c r="D84" s="17" t="n">
        <f aca="false">RANK(C84,$C$82:$C$131)+COUNTIF($C$82:C84,C84)-1</f>
        <v>14</v>
      </c>
      <c r="F84" s="18" t="n">
        <v>3</v>
      </c>
      <c r="G84" s="18" t="str">
        <f aca="false">INDEX($A$82:$A$131,MATCH(F84,$D$82:$D$131,0))</f>
        <v>Barbara Young</v>
      </c>
      <c r="H84" s="21" t="n">
        <f aca="false">INDEX($C$82:$C$131,MATCH(F84,$D$82:$D$131,0))</f>
        <v>10649.8</v>
      </c>
    </row>
    <row r="85" customFormat="false" ht="15" hidden="false" customHeight="false" outlineLevel="0" collapsed="false">
      <c r="A85" s="18" t="str">
        <f aca="false">Analysis!B88</f>
        <v>Sarah Davis</v>
      </c>
      <c r="B85" s="18" t="str">
        <f aca="false">Analysis!A88</f>
        <v>CUST004</v>
      </c>
      <c r="C85" s="21" t="n">
        <f aca="false">SUMIFS('Raw Data'!$N$2:$N$251,'Raw Data'!$C$2:$C$251,B85,'Raw Data'!$K$2:$K$251,$B$3,'Raw Data'!$G$2:$G$251,$B$4,'Raw Data'!$J$2:$J$251,$B$5)</f>
        <v>5499.81</v>
      </c>
      <c r="D85" s="17" t="n">
        <f aca="false">RANK(C85,$C$82:$C$131)+COUNTIF($C$82:C85,C85)-1</f>
        <v>19</v>
      </c>
      <c r="F85" s="18" t="n">
        <v>4</v>
      </c>
      <c r="G85" s="18" t="str">
        <f aca="false">INDEX($A$82:$A$131,MATCH(F85,$D$82:$D$131,0))</f>
        <v>Patricia Moore</v>
      </c>
      <c r="H85" s="21" t="n">
        <f aca="false">INDEX($C$82:$C$131,MATCH(F85,$D$82:$D$131,0))</f>
        <v>9799.73</v>
      </c>
    </row>
    <row r="86" customFormat="false" ht="15" hidden="false" customHeight="false" outlineLevel="0" collapsed="false">
      <c r="A86" s="18" t="str">
        <f aca="false">Analysis!B89</f>
        <v>James Johnson</v>
      </c>
      <c r="B86" s="18" t="str">
        <f aca="false">Analysis!A89</f>
        <v>CUST005</v>
      </c>
      <c r="C86" s="21" t="n">
        <f aca="false">SUMIFS('Raw Data'!$N$2:$N$251,'Raw Data'!$C$2:$C$251,B86,'Raw Data'!$K$2:$K$251,$B$3,'Raw Data'!$G$2:$G$251,$B$4,'Raw Data'!$J$2:$J$251,$B$5)</f>
        <v>179.97</v>
      </c>
      <c r="D86" s="17" t="n">
        <f aca="false">RANK(C86,$C$82:$C$131)+COUNTIF($C$82:C86,C86)-1</f>
        <v>50</v>
      </c>
      <c r="F86" s="18" t="n">
        <v>5</v>
      </c>
      <c r="G86" s="18" t="str">
        <f aca="false">INDEX($A$82:$A$131,MATCH(F86,$D$82:$D$131,0))</f>
        <v>Paul Baker</v>
      </c>
      <c r="H86" s="21" t="n">
        <f aca="false">INDEX($C$82:$C$131,MATCH(F86,$D$82:$D$131,0))</f>
        <v>8309.74</v>
      </c>
    </row>
    <row r="87" customFormat="false" ht="15" hidden="false" customHeight="false" outlineLevel="0" collapsed="false">
      <c r="A87" s="18" t="str">
        <f aca="false">Analysis!B90</f>
        <v>Lisa Anderson</v>
      </c>
      <c r="B87" s="18" t="str">
        <f aca="false">Analysis!A90</f>
        <v>CUST006</v>
      </c>
      <c r="C87" s="21" t="n">
        <f aca="false">SUMIFS('Raw Data'!$N$2:$N$251,'Raw Data'!$C$2:$C$251,B87,'Raw Data'!$K$2:$K$251,$B$3,'Raw Data'!$G$2:$G$251,$B$4,'Raw Data'!$J$2:$J$251,$B$5)</f>
        <v>2039.8</v>
      </c>
      <c r="D87" s="17" t="n">
        <f aca="false">RANK(C87,$C$82:$C$131)+COUNTIF($C$82:C87,C87)-1</f>
        <v>36</v>
      </c>
    </row>
    <row r="88" customFormat="false" ht="15" hidden="false" customHeight="false" outlineLevel="0" collapsed="false">
      <c r="A88" s="18" t="str">
        <f aca="false">Analysis!B91</f>
        <v>David Martinez</v>
      </c>
      <c r="B88" s="18" t="str">
        <f aca="false">Analysis!A91</f>
        <v>CUST007</v>
      </c>
      <c r="C88" s="21" t="n">
        <f aca="false">SUMIFS('Raw Data'!$N$2:$N$251,'Raw Data'!$C$2:$C$251,B88,'Raw Data'!$K$2:$K$251,$B$3,'Raw Data'!$G$2:$G$251,$B$4,'Raw Data'!$J$2:$J$251,$B$5)</f>
        <v>1809.84</v>
      </c>
      <c r="D88" s="17" t="n">
        <f aca="false">RANK(C88,$C$82:$C$131)+COUNTIF($C$82:C88,C88)-1</f>
        <v>39</v>
      </c>
    </row>
    <row r="89" customFormat="false" ht="15" hidden="false" customHeight="false" outlineLevel="0" collapsed="false">
      <c r="A89" s="18" t="str">
        <f aca="false">Analysis!B92</f>
        <v>Jennifer Taylor</v>
      </c>
      <c r="B89" s="18" t="str">
        <f aca="false">Analysis!A92</f>
        <v>CUST008</v>
      </c>
      <c r="C89" s="21" t="n">
        <f aca="false">SUMIFS('Raw Data'!$N$2:$N$251,'Raw Data'!$C$2:$C$251,B89,'Raw Data'!$K$2:$K$251,$B$3,'Raw Data'!$G$2:$G$251,$B$4,'Raw Data'!$J$2:$J$251,$B$5)</f>
        <v>4739.85</v>
      </c>
      <c r="D89" s="17" t="n">
        <f aca="false">RANK(C89,$C$82:$C$131)+COUNTIF($C$82:C89,C89)-1</f>
        <v>24</v>
      </c>
    </row>
    <row r="90" customFormat="false" ht="15" hidden="false" customHeight="false" outlineLevel="0" collapsed="false">
      <c r="A90" s="18" t="str">
        <f aca="false">Analysis!B93</f>
        <v>Robert Thomas</v>
      </c>
      <c r="B90" s="18" t="str">
        <f aca="false">Analysis!A93</f>
        <v>CUST009</v>
      </c>
      <c r="C90" s="21" t="n">
        <f aca="false">SUMIFS('Raw Data'!$N$2:$N$251,'Raw Data'!$C$2:$C$251,B90,'Raw Data'!$K$2:$K$251,$B$3,'Raw Data'!$G$2:$G$251,$B$4,'Raw Data'!$J$2:$J$251,$B$5)</f>
        <v>3509.9</v>
      </c>
      <c r="D90" s="17" t="n">
        <f aca="false">RANK(C90,$C$82:$C$131)+COUNTIF($C$82:C90,C90)-1</f>
        <v>32</v>
      </c>
    </row>
    <row r="91" customFormat="false" ht="15" hidden="false" customHeight="false" outlineLevel="0" collapsed="false">
      <c r="A91" s="18" t="str">
        <f aca="false">Analysis!B94</f>
        <v>Maria Garcia</v>
      </c>
      <c r="B91" s="18" t="str">
        <f aca="false">Analysis!A94</f>
        <v>CUST010</v>
      </c>
      <c r="C91" s="21" t="n">
        <f aca="false">SUMIFS('Raw Data'!$N$2:$N$251,'Raw Data'!$C$2:$C$251,B91,'Raw Data'!$K$2:$K$251,$B$3,'Raw Data'!$G$2:$G$251,$B$4,'Raw Data'!$J$2:$J$251,$B$5)</f>
        <v>1909.93</v>
      </c>
      <c r="D91" s="17" t="n">
        <f aca="false">RANK(C91,$C$82:$C$131)+COUNTIF($C$82:C91,C91)-1</f>
        <v>38</v>
      </c>
    </row>
    <row r="92" customFormat="false" ht="15" hidden="false" customHeight="false" outlineLevel="0" collapsed="false">
      <c r="A92" s="18" t="str">
        <f aca="false">Analysis!B95</f>
        <v>William White</v>
      </c>
      <c r="B92" s="18" t="str">
        <f aca="false">Analysis!A95</f>
        <v>CUST011</v>
      </c>
      <c r="C92" s="21" t="n">
        <f aca="false">SUMIFS('Raw Data'!$N$2:$N$251,'Raw Data'!$C$2:$C$251,B92,'Raw Data'!$K$2:$K$251,$B$3,'Raw Data'!$G$2:$G$251,$B$4,'Raw Data'!$J$2:$J$251,$B$5)</f>
        <v>4749.91</v>
      </c>
      <c r="D92" s="17" t="n">
        <f aca="false">RANK(C92,$C$82:$C$131)+COUNTIF($C$82:C92,C92)-1</f>
        <v>23</v>
      </c>
    </row>
    <row r="93" customFormat="false" ht="15" hidden="false" customHeight="false" outlineLevel="0" collapsed="false">
      <c r="A93" s="18" t="str">
        <f aca="false">Analysis!B96</f>
        <v>Patricia Moore</v>
      </c>
      <c r="B93" s="18" t="str">
        <f aca="false">Analysis!A96</f>
        <v>CUST012</v>
      </c>
      <c r="C93" s="21" t="n">
        <f aca="false">SUMIFS('Raw Data'!$N$2:$N$251,'Raw Data'!$C$2:$C$251,B93,'Raw Data'!$K$2:$K$251,$B$3,'Raw Data'!$G$2:$G$251,$B$4,'Raw Data'!$J$2:$J$251,$B$5)</f>
        <v>9799.73</v>
      </c>
      <c r="D93" s="17" t="n">
        <f aca="false">RANK(C93,$C$82:$C$131)+COUNTIF($C$82:C93,C93)-1</f>
        <v>4</v>
      </c>
    </row>
    <row r="94" customFormat="false" ht="15" hidden="false" customHeight="false" outlineLevel="0" collapsed="false">
      <c r="A94" s="18" t="str">
        <f aca="false">Analysis!B97</f>
        <v>Joseph Jackson</v>
      </c>
      <c r="B94" s="18" t="str">
        <f aca="false">Analysis!A97</f>
        <v>CUST013</v>
      </c>
      <c r="C94" s="21" t="n">
        <f aca="false">SUMIFS('Raw Data'!$N$2:$N$251,'Raw Data'!$C$2:$C$251,B94,'Raw Data'!$K$2:$K$251,$B$3,'Raw Data'!$G$2:$G$251,$B$4,'Raw Data'!$J$2:$J$251,$B$5)</f>
        <v>6949.84</v>
      </c>
      <c r="D94" s="17" t="n">
        <f aca="false">RANK(C94,$C$82:$C$131)+COUNTIF($C$82:C94,C94)-1</f>
        <v>10</v>
      </c>
    </row>
    <row r="95" customFormat="false" ht="15" hidden="false" customHeight="false" outlineLevel="0" collapsed="false">
      <c r="A95" s="18" t="str">
        <f aca="false">Analysis!B98</f>
        <v>Linda Martin</v>
      </c>
      <c r="B95" s="18" t="str">
        <f aca="false">Analysis!A98</f>
        <v>CUST014</v>
      </c>
      <c r="C95" s="21" t="n">
        <f aca="false">SUMIFS('Raw Data'!$N$2:$N$251,'Raw Data'!$C$2:$C$251,B95,'Raw Data'!$K$2:$K$251,$B$3,'Raw Data'!$G$2:$G$251,$B$4,'Raw Data'!$J$2:$J$251,$B$5)</f>
        <v>1289.9</v>
      </c>
      <c r="D95" s="17" t="n">
        <f aca="false">RANK(C95,$C$82:$C$131)+COUNTIF($C$82:C95,C95)-1</f>
        <v>43</v>
      </c>
    </row>
    <row r="96" customFormat="false" ht="15" hidden="false" customHeight="false" outlineLevel="0" collapsed="false">
      <c r="A96" s="18" t="str">
        <f aca="false">Analysis!B99</f>
        <v>Richard Lee</v>
      </c>
      <c r="B96" s="18" t="str">
        <f aca="false">Analysis!A99</f>
        <v>CUST015</v>
      </c>
      <c r="C96" s="21" t="n">
        <f aca="false">SUMIFS('Raw Data'!$N$2:$N$251,'Raw Data'!$C$2:$C$251,B96,'Raw Data'!$K$2:$K$251,$B$3,'Raw Data'!$G$2:$G$251,$B$4,'Raw Data'!$J$2:$J$251,$B$5)</f>
        <v>739.93</v>
      </c>
      <c r="D96" s="17" t="n">
        <f aca="false">RANK(C96,$C$82:$C$131)+COUNTIF($C$82:C96,C96)-1</f>
        <v>46</v>
      </c>
    </row>
    <row r="97" customFormat="false" ht="15" hidden="false" customHeight="false" outlineLevel="0" collapsed="false">
      <c r="A97" s="18" t="str">
        <f aca="false">Analysis!B100</f>
        <v>Elizabeth Hall</v>
      </c>
      <c r="B97" s="18" t="str">
        <f aca="false">Analysis!A100</f>
        <v>CUST016</v>
      </c>
      <c r="C97" s="21" t="n">
        <f aca="false">SUMIFS('Raw Data'!$N$2:$N$251,'Raw Data'!$C$2:$C$251,B97,'Raw Data'!$K$2:$K$251,$B$3,'Raw Data'!$G$2:$G$251,$B$4,'Raw Data'!$J$2:$J$251,$B$5)</f>
        <v>3649.86</v>
      </c>
      <c r="D97" s="17" t="n">
        <f aca="false">RANK(C97,$C$82:$C$131)+COUNTIF($C$82:C97,C97)-1</f>
        <v>31</v>
      </c>
    </row>
    <row r="98" customFormat="false" ht="15" hidden="false" customHeight="false" outlineLevel="0" collapsed="false">
      <c r="A98" s="18" t="str">
        <f aca="false">Analysis!B101</f>
        <v>Charles Allen</v>
      </c>
      <c r="B98" s="18" t="str">
        <f aca="false">Analysis!A101</f>
        <v>CUST017</v>
      </c>
      <c r="C98" s="21" t="n">
        <f aca="false">SUMIFS('Raw Data'!$N$2:$N$251,'Raw Data'!$C$2:$C$251,B98,'Raw Data'!$K$2:$K$251,$B$3,'Raw Data'!$G$2:$G$251,$B$4,'Raw Data'!$J$2:$J$251,$B$5)</f>
        <v>5089.73</v>
      </c>
      <c r="D98" s="17" t="n">
        <f aca="false">RANK(C98,$C$82:$C$131)+COUNTIF($C$82:C98,C98)-1</f>
        <v>20</v>
      </c>
    </row>
    <row r="99" customFormat="false" ht="15" hidden="false" customHeight="false" outlineLevel="0" collapsed="false">
      <c r="A99" s="18" t="str">
        <f aca="false">Analysis!B102</f>
        <v>Barbara Young</v>
      </c>
      <c r="B99" s="18" t="str">
        <f aca="false">Analysis!A102</f>
        <v>CUST018</v>
      </c>
      <c r="C99" s="21" t="n">
        <f aca="false">SUMIFS('Raw Data'!$N$2:$N$251,'Raw Data'!$C$2:$C$251,B99,'Raw Data'!$K$2:$K$251,$B$3,'Raw Data'!$G$2:$G$251,$B$4,'Raw Data'!$J$2:$J$251,$B$5)</f>
        <v>10649.8</v>
      </c>
      <c r="D99" s="17" t="n">
        <f aca="false">RANK(C99,$C$82:$C$131)+COUNTIF($C$82:C99,C99)-1</f>
        <v>3</v>
      </c>
    </row>
    <row r="100" customFormat="false" ht="15" hidden="false" customHeight="false" outlineLevel="0" collapsed="false">
      <c r="A100" s="18" t="str">
        <f aca="false">Analysis!B103</f>
        <v>Daniel King</v>
      </c>
      <c r="B100" s="18" t="str">
        <f aca="false">Analysis!A103</f>
        <v>CUST019</v>
      </c>
      <c r="C100" s="21" t="n">
        <f aca="false">SUMIFS('Raw Data'!$N$2:$N$251,'Raw Data'!$C$2:$C$251,B100,'Raw Data'!$K$2:$K$251,$B$3,'Raw Data'!$G$2:$G$251,$B$4,'Raw Data'!$J$2:$J$251,$B$5)</f>
        <v>7309.8</v>
      </c>
      <c r="D100" s="17" t="n">
        <f aca="false">RANK(C100,$C$82:$C$131)+COUNTIF($C$82:C100,C100)-1</f>
        <v>8</v>
      </c>
    </row>
    <row r="101" customFormat="false" ht="15" hidden="false" customHeight="false" outlineLevel="0" collapsed="false">
      <c r="A101" s="18" t="str">
        <f aca="false">Analysis!B104</f>
        <v>Margaret Wright</v>
      </c>
      <c r="B101" s="18" t="str">
        <f aca="false">Analysis!A104</f>
        <v>CUST020</v>
      </c>
      <c r="C101" s="21" t="n">
        <f aca="false">SUMIFS('Raw Data'!$N$2:$N$251,'Raw Data'!$C$2:$C$251,B101,'Raw Data'!$K$2:$K$251,$B$3,'Raw Data'!$G$2:$G$251,$B$4,'Raw Data'!$J$2:$J$251,$B$5)</f>
        <v>2099.88</v>
      </c>
      <c r="D101" s="17" t="n">
        <f aca="false">RANK(C101,$C$82:$C$131)+COUNTIF($C$82:C101,C101)-1</f>
        <v>35</v>
      </c>
    </row>
    <row r="102" customFormat="false" ht="15" hidden="false" customHeight="false" outlineLevel="0" collapsed="false">
      <c r="A102" s="18" t="str">
        <f aca="false">Analysis!B105</f>
        <v>Kevin Scott</v>
      </c>
      <c r="B102" s="18" t="str">
        <f aca="false">Analysis!A105</f>
        <v>CUST021</v>
      </c>
      <c r="C102" s="21" t="n">
        <f aca="false">SUMIFS('Raw Data'!$N$2:$N$251,'Raw Data'!$C$2:$C$251,B102,'Raw Data'!$K$2:$K$251,$B$3,'Raw Data'!$G$2:$G$251,$B$4,'Raw Data'!$J$2:$J$251,$B$5)</f>
        <v>3259.87</v>
      </c>
      <c r="D102" s="17" t="n">
        <f aca="false">RANK(C102,$C$82:$C$131)+COUNTIF($C$82:C102,C102)-1</f>
        <v>33</v>
      </c>
    </row>
    <row r="103" customFormat="false" ht="15" hidden="false" customHeight="false" outlineLevel="0" collapsed="false">
      <c r="A103" s="18" t="str">
        <f aca="false">Analysis!B106</f>
        <v>Susan Green</v>
      </c>
      <c r="B103" s="18" t="str">
        <f aca="false">Analysis!A106</f>
        <v>CUST022</v>
      </c>
      <c r="C103" s="21" t="n">
        <f aca="false">SUMIFS('Raw Data'!$N$2:$N$251,'Raw Data'!$C$2:$C$251,B103,'Raw Data'!$K$2:$K$251,$B$3,'Raw Data'!$G$2:$G$251,$B$4,'Raw Data'!$J$2:$J$251,$B$5)</f>
        <v>1979.89</v>
      </c>
      <c r="D103" s="17" t="n">
        <f aca="false">RANK(C103,$C$82:$C$131)+COUNTIF($C$82:C103,C103)-1</f>
        <v>37</v>
      </c>
    </row>
    <row r="104" customFormat="false" ht="15" hidden="false" customHeight="false" outlineLevel="0" collapsed="false">
      <c r="A104" s="18" t="str">
        <f aca="false">Analysis!B107</f>
        <v>Paul Baker</v>
      </c>
      <c r="B104" s="18" t="str">
        <f aca="false">Analysis!A107</f>
        <v>CUST023</v>
      </c>
      <c r="C104" s="21" t="n">
        <f aca="false">SUMIFS('Raw Data'!$N$2:$N$251,'Raw Data'!$C$2:$C$251,B104,'Raw Data'!$K$2:$K$251,$B$3,'Raw Data'!$G$2:$G$251,$B$4,'Raw Data'!$J$2:$J$251,$B$5)</f>
        <v>8309.74</v>
      </c>
      <c r="D104" s="17" t="n">
        <f aca="false">RANK(C104,$C$82:$C$131)+COUNTIF($C$82:C104,C104)-1</f>
        <v>5</v>
      </c>
    </row>
    <row r="105" customFormat="false" ht="15" hidden="false" customHeight="false" outlineLevel="0" collapsed="false">
      <c r="A105" s="18" t="str">
        <f aca="false">Analysis!B108</f>
        <v>Dorothy Nelson</v>
      </c>
      <c r="B105" s="18" t="str">
        <f aca="false">Analysis!A108</f>
        <v>CUST024</v>
      </c>
      <c r="C105" s="21" t="n">
        <f aca="false">SUMIFS('Raw Data'!$N$2:$N$251,'Raw Data'!$C$2:$C$251,B105,'Raw Data'!$K$2:$K$251,$B$3,'Raw Data'!$G$2:$G$251,$B$4,'Raw Data'!$J$2:$J$251,$B$5)</f>
        <v>8269.79</v>
      </c>
      <c r="D105" s="17" t="n">
        <f aca="false">RANK(C105,$C$82:$C$131)+COUNTIF($C$82:C105,C105)-1</f>
        <v>6</v>
      </c>
    </row>
    <row r="106" customFormat="false" ht="15" hidden="false" customHeight="false" outlineLevel="0" collapsed="false">
      <c r="A106" s="18" t="str">
        <f aca="false">Analysis!B109</f>
        <v>Mark Carter</v>
      </c>
      <c r="B106" s="18" t="str">
        <f aca="false">Analysis!A109</f>
        <v>CUST025</v>
      </c>
      <c r="C106" s="21" t="n">
        <f aca="false">SUMIFS('Raw Data'!$N$2:$N$251,'Raw Data'!$C$2:$C$251,B106,'Raw Data'!$K$2:$K$251,$B$3,'Raw Data'!$G$2:$G$251,$B$4,'Raw Data'!$J$2:$J$251,$B$5)</f>
        <v>15659.65</v>
      </c>
      <c r="D106" s="17" t="n">
        <f aca="false">RANK(C106,$C$82:$C$131)+COUNTIF($C$82:C106,C106)-1</f>
        <v>1</v>
      </c>
    </row>
    <row r="107" customFormat="false" ht="15" hidden="false" customHeight="false" outlineLevel="0" collapsed="false">
      <c r="A107" s="18" t="str">
        <f aca="false">Analysis!B110</f>
        <v>Karen Hill</v>
      </c>
      <c r="B107" s="18" t="str">
        <f aca="false">Analysis!A110</f>
        <v>CUST026</v>
      </c>
      <c r="C107" s="21" t="n">
        <f aca="false">SUMIFS('Raw Data'!$N$2:$N$251,'Raw Data'!$C$2:$C$251,B107,'Raw Data'!$K$2:$K$251,$B$3,'Raw Data'!$G$2:$G$251,$B$4,'Raw Data'!$J$2:$J$251,$B$5)</f>
        <v>8009.77</v>
      </c>
      <c r="D107" s="17" t="n">
        <f aca="false">RANK(C107,$C$82:$C$131)+COUNTIF($C$82:C107,C107)-1</f>
        <v>7</v>
      </c>
    </row>
    <row r="108" customFormat="false" ht="15" hidden="false" customHeight="false" outlineLevel="0" collapsed="false">
      <c r="A108" s="18" t="str">
        <f aca="false">Analysis!B111</f>
        <v>George Adams</v>
      </c>
      <c r="B108" s="18" t="str">
        <f aca="false">Analysis!A111</f>
        <v>CUST027</v>
      </c>
      <c r="C108" s="21" t="n">
        <f aca="false">SUMIFS('Raw Data'!$N$2:$N$251,'Raw Data'!$C$2:$C$251,B108,'Raw Data'!$K$2:$K$251,$B$3,'Raw Data'!$G$2:$G$251,$B$4,'Raw Data'!$J$2:$J$251,$B$5)</f>
        <v>3779.93</v>
      </c>
      <c r="D108" s="17" t="n">
        <f aca="false">RANK(C108,$C$82:$C$131)+COUNTIF($C$82:C108,C108)-1</f>
        <v>28</v>
      </c>
    </row>
    <row r="109" customFormat="false" ht="15" hidden="false" customHeight="false" outlineLevel="0" collapsed="false">
      <c r="A109" s="18" t="str">
        <f aca="false">Analysis!B112</f>
        <v>Betty Campbell</v>
      </c>
      <c r="B109" s="18" t="str">
        <f aca="false">Analysis!A112</f>
        <v>CUST028</v>
      </c>
      <c r="C109" s="21" t="n">
        <f aca="false">SUMIFS('Raw Data'!$N$2:$N$251,'Raw Data'!$C$2:$C$251,B109,'Raw Data'!$K$2:$K$251,$B$3,'Raw Data'!$G$2:$G$251,$B$4,'Raw Data'!$J$2:$J$251,$B$5)</f>
        <v>5649.84</v>
      </c>
      <c r="D109" s="17" t="n">
        <f aca="false">RANK(C109,$C$82:$C$131)+COUNTIF($C$82:C109,C109)-1</f>
        <v>16</v>
      </c>
    </row>
    <row r="110" customFormat="false" ht="15" hidden="false" customHeight="false" outlineLevel="0" collapsed="false">
      <c r="A110" s="18" t="str">
        <f aca="false">Analysis!B113</f>
        <v>Edward Mitchell</v>
      </c>
      <c r="B110" s="18" t="str">
        <f aca="false">Analysis!A113</f>
        <v>CUST029</v>
      </c>
      <c r="C110" s="21" t="n">
        <f aca="false">SUMIFS('Raw Data'!$N$2:$N$251,'Raw Data'!$C$2:$C$251,B110,'Raw Data'!$K$2:$K$251,$B$3,'Raw Data'!$G$2:$G$251,$B$4,'Raw Data'!$J$2:$J$251,$B$5)</f>
        <v>11919.77</v>
      </c>
      <c r="D110" s="17" t="n">
        <f aca="false">RANK(C110,$C$82:$C$131)+COUNTIF($C$82:C110,C110)-1</f>
        <v>2</v>
      </c>
    </row>
    <row r="111" customFormat="false" ht="15" hidden="false" customHeight="false" outlineLevel="0" collapsed="false">
      <c r="A111" s="18" t="str">
        <f aca="false">Analysis!B114</f>
        <v>Helen Roberts</v>
      </c>
      <c r="B111" s="18" t="str">
        <f aca="false">Analysis!A114</f>
        <v>CUST030</v>
      </c>
      <c r="C111" s="21" t="n">
        <f aca="false">SUMIFS('Raw Data'!$N$2:$N$251,'Raw Data'!$C$2:$C$251,B111,'Raw Data'!$K$2:$K$251,$B$3,'Raw Data'!$G$2:$G$251,$B$4,'Raw Data'!$J$2:$J$251,$B$5)</f>
        <v>6459.79</v>
      </c>
      <c r="D111" s="17" t="n">
        <f aca="false">RANK(C111,$C$82:$C$131)+COUNTIF($C$82:C111,C111)-1</f>
        <v>11</v>
      </c>
    </row>
    <row r="112" customFormat="false" ht="15" hidden="false" customHeight="false" outlineLevel="0" collapsed="false">
      <c r="A112" s="18" t="str">
        <f aca="false">Analysis!B115</f>
        <v>Steven Turner</v>
      </c>
      <c r="B112" s="18" t="str">
        <f aca="false">Analysis!A115</f>
        <v>CUST031</v>
      </c>
      <c r="C112" s="21" t="n">
        <f aca="false">SUMIFS('Raw Data'!$N$2:$N$251,'Raw Data'!$C$2:$C$251,B112,'Raw Data'!$K$2:$K$251,$B$3,'Raw Data'!$G$2:$G$251,$B$4,'Raw Data'!$J$2:$J$251,$B$5)</f>
        <v>2649.83</v>
      </c>
      <c r="D112" s="17" t="n">
        <f aca="false">RANK(C112,$C$82:$C$131)+COUNTIF($C$82:C112,C112)-1</f>
        <v>34</v>
      </c>
    </row>
    <row r="113" customFormat="false" ht="15" hidden="false" customHeight="false" outlineLevel="0" collapsed="false">
      <c r="A113" s="18" t="str">
        <f aca="false">Analysis!B116</f>
        <v>Sandra Phillips</v>
      </c>
      <c r="B113" s="18" t="str">
        <f aca="false">Analysis!A116</f>
        <v>CUST032</v>
      </c>
      <c r="C113" s="21" t="n">
        <f aca="false">SUMIFS('Raw Data'!$N$2:$N$251,'Raw Data'!$C$2:$C$251,B113,'Raw Data'!$K$2:$K$251,$B$3,'Raw Data'!$G$2:$G$251,$B$4,'Raw Data'!$J$2:$J$251,$B$5)</f>
        <v>6349.83</v>
      </c>
      <c r="D113" s="17" t="n">
        <f aca="false">RANK(C113,$C$82:$C$131)+COUNTIF($C$82:C113,C113)-1</f>
        <v>13</v>
      </c>
    </row>
    <row r="114" customFormat="false" ht="15" hidden="false" customHeight="false" outlineLevel="0" collapsed="false">
      <c r="A114" s="18" t="str">
        <f aca="false">Analysis!B117</f>
        <v>Frank Torres</v>
      </c>
      <c r="B114" s="18" t="str">
        <f aca="false">Analysis!A117</f>
        <v>CUST033</v>
      </c>
      <c r="C114" s="21" t="n">
        <f aca="false">SUMIFS('Raw Data'!$N$2:$N$251,'Raw Data'!$C$2:$C$251,B114,'Raw Data'!$K$2:$K$251,$B$3,'Raw Data'!$G$2:$G$251,$B$4,'Raw Data'!$J$2:$J$251,$B$5)</f>
        <v>1479.91</v>
      </c>
      <c r="D114" s="17" t="n">
        <f aca="false">RANK(C114,$C$82:$C$131)+COUNTIF($C$82:C114,C114)-1</f>
        <v>42</v>
      </c>
    </row>
    <row r="115" customFormat="false" ht="15" hidden="false" customHeight="false" outlineLevel="0" collapsed="false">
      <c r="A115" s="18" t="str">
        <f aca="false">Analysis!B118</f>
        <v>Carol Evans</v>
      </c>
      <c r="B115" s="18" t="str">
        <f aca="false">Analysis!A118</f>
        <v>CUST034</v>
      </c>
      <c r="C115" s="21" t="n">
        <f aca="false">SUMIFS('Raw Data'!$N$2:$N$251,'Raw Data'!$C$2:$C$251,B115,'Raw Data'!$K$2:$K$251,$B$3,'Raw Data'!$G$2:$G$251,$B$4,'Raw Data'!$J$2:$J$251,$B$5)</f>
        <v>1149.93</v>
      </c>
      <c r="D115" s="17" t="n">
        <f aca="false">RANK(C115,$C$82:$C$131)+COUNTIF($C$82:C115,C115)-1</f>
        <v>45</v>
      </c>
    </row>
    <row r="116" customFormat="false" ht="15" hidden="false" customHeight="false" outlineLevel="0" collapsed="false">
      <c r="A116" s="18" t="str">
        <f aca="false">Analysis!B119</f>
        <v>Harry Morgan</v>
      </c>
      <c r="B116" s="18" t="str">
        <f aca="false">Analysis!A119</f>
        <v>CUST035</v>
      </c>
      <c r="C116" s="21" t="n">
        <f aca="false">SUMIFS('Raw Data'!$N$2:$N$251,'Raw Data'!$C$2:$C$251,B116,'Raw Data'!$K$2:$K$251,$B$3,'Raw Data'!$G$2:$G$251,$B$4,'Raw Data'!$J$2:$J$251,$B$5)</f>
        <v>5519.89</v>
      </c>
      <c r="D116" s="17" t="n">
        <f aca="false">RANK(C116,$C$82:$C$131)+COUNTIF($C$82:C116,C116)-1</f>
        <v>18</v>
      </c>
    </row>
    <row r="117" customFormat="false" ht="15" hidden="false" customHeight="false" outlineLevel="0" collapsed="false">
      <c r="A117" s="18" t="str">
        <f aca="false">Analysis!B120</f>
        <v>Nancy Collins</v>
      </c>
      <c r="B117" s="18" t="str">
        <f aca="false">Analysis!A120</f>
        <v>CUST036</v>
      </c>
      <c r="C117" s="21" t="n">
        <f aca="false">SUMIFS('Raw Data'!$N$2:$N$251,'Raw Data'!$C$2:$C$251,B117,'Raw Data'!$K$2:$K$251,$B$3,'Raw Data'!$G$2:$G$251,$B$4,'Raw Data'!$J$2:$J$251,$B$5)</f>
        <v>4189.77</v>
      </c>
      <c r="D117" s="17" t="n">
        <f aca="false">RANK(C117,$C$82:$C$131)+COUNTIF($C$82:C117,C117)-1</f>
        <v>27</v>
      </c>
    </row>
    <row r="118" customFormat="false" ht="15" hidden="false" customHeight="false" outlineLevel="0" collapsed="false">
      <c r="A118" s="18" t="str">
        <f aca="false">Analysis!B121</f>
        <v>Arthur Edwards</v>
      </c>
      <c r="B118" s="18" t="str">
        <f aca="false">Analysis!A121</f>
        <v>CUST037</v>
      </c>
      <c r="C118" s="21" t="n">
        <f aca="false">SUMIFS('Raw Data'!$N$2:$N$251,'Raw Data'!$C$2:$C$251,B118,'Raw Data'!$K$2:$K$251,$B$3,'Raw Data'!$G$2:$G$251,$B$4,'Raw Data'!$J$2:$J$251,$B$5)</f>
        <v>1559.94</v>
      </c>
      <c r="D118" s="17" t="n">
        <f aca="false">RANK(C118,$C$82:$C$131)+COUNTIF($C$82:C118,C118)-1</f>
        <v>41</v>
      </c>
    </row>
    <row r="119" customFormat="false" ht="15" hidden="false" customHeight="false" outlineLevel="0" collapsed="false">
      <c r="A119" s="18" t="str">
        <f aca="false">Analysis!B122</f>
        <v>Michelle Rogers</v>
      </c>
      <c r="B119" s="18" t="str">
        <f aca="false">Analysis!A122</f>
        <v>CUST038</v>
      </c>
      <c r="C119" s="21" t="n">
        <f aca="false">SUMIFS('Raw Data'!$N$2:$N$251,'Raw Data'!$C$2:$C$251,B119,'Raw Data'!$K$2:$K$251,$B$3,'Raw Data'!$G$2:$G$251,$B$4,'Raw Data'!$J$2:$J$251,$B$5)</f>
        <v>4199.94</v>
      </c>
      <c r="D119" s="17" t="n">
        <f aca="false">RANK(C119,$C$82:$C$131)+COUNTIF($C$82:C119,C119)-1</f>
        <v>26</v>
      </c>
    </row>
    <row r="120" customFormat="false" ht="15" hidden="false" customHeight="false" outlineLevel="0" collapsed="false">
      <c r="A120" s="18" t="str">
        <f aca="false">Analysis!B123</f>
        <v>Lawrence Reed</v>
      </c>
      <c r="B120" s="18" t="str">
        <f aca="false">Analysis!A123</f>
        <v>CUST039</v>
      </c>
      <c r="C120" s="21" t="n">
        <f aca="false">SUMIFS('Raw Data'!$N$2:$N$251,'Raw Data'!$C$2:$C$251,B120,'Raw Data'!$K$2:$K$251,$B$3,'Raw Data'!$G$2:$G$251,$B$4,'Raw Data'!$J$2:$J$251,$B$5)</f>
        <v>6989.77</v>
      </c>
      <c r="D120" s="17" t="n">
        <f aca="false">RANK(C120,$C$82:$C$131)+COUNTIF($C$82:C120,C120)-1</f>
        <v>9</v>
      </c>
    </row>
    <row r="121" customFormat="false" ht="15" hidden="false" customHeight="false" outlineLevel="0" collapsed="false">
      <c r="A121" s="18" t="str">
        <f aca="false">Analysis!B124</f>
        <v>Sharon Butler</v>
      </c>
      <c r="B121" s="18" t="str">
        <f aca="false">Analysis!A124</f>
        <v>CUST040</v>
      </c>
      <c r="C121" s="21" t="n">
        <f aca="false">SUMIFS('Raw Data'!$N$2:$N$251,'Raw Data'!$C$2:$C$251,B121,'Raw Data'!$K$2:$K$251,$B$3,'Raw Data'!$G$2:$G$251,$B$4,'Raw Data'!$J$2:$J$251,$B$5)</f>
        <v>5619.87</v>
      </c>
      <c r="D121" s="17" t="n">
        <f aca="false">RANK(C121,$C$82:$C$131)+COUNTIF($C$82:C121,C121)-1</f>
        <v>17</v>
      </c>
    </row>
    <row r="122" customFormat="false" ht="15" hidden="false" customHeight="false" outlineLevel="0" collapsed="false">
      <c r="A122" s="18" t="str">
        <f aca="false">Analysis!B125</f>
        <v>Peter Richardson</v>
      </c>
      <c r="B122" s="18" t="str">
        <f aca="false">Analysis!A125</f>
        <v>CUST041</v>
      </c>
      <c r="C122" s="21" t="n">
        <f aca="false">SUMIFS('Raw Data'!$N$2:$N$251,'Raw Data'!$C$2:$C$251,B122,'Raw Data'!$K$2:$K$251,$B$3,'Raw Data'!$G$2:$G$251,$B$4,'Raw Data'!$J$2:$J$251,$B$5)</f>
        <v>5949.85</v>
      </c>
      <c r="D122" s="17" t="n">
        <f aca="false">RANK(C122,$C$82:$C$131)+COUNTIF($C$82:C122,C122)-1</f>
        <v>15</v>
      </c>
    </row>
    <row r="123" customFormat="false" ht="15" hidden="false" customHeight="false" outlineLevel="0" collapsed="false">
      <c r="A123" s="18" t="str">
        <f aca="false">Analysis!B126</f>
        <v>Ruth Brooks</v>
      </c>
      <c r="B123" s="18" t="str">
        <f aca="false">Analysis!A126</f>
        <v>CUST042</v>
      </c>
      <c r="C123" s="21" t="n">
        <f aca="false">SUMIFS('Raw Data'!$N$2:$N$251,'Raw Data'!$C$2:$C$251,B123,'Raw Data'!$K$2:$K$251,$B$3,'Raw Data'!$G$2:$G$251,$B$4,'Raw Data'!$J$2:$J$251,$B$5)</f>
        <v>1749.92</v>
      </c>
      <c r="D123" s="17" t="n">
        <f aca="false">RANK(C123,$C$82:$C$131)+COUNTIF($C$82:C123,C123)-1</f>
        <v>40</v>
      </c>
    </row>
    <row r="124" customFormat="false" ht="15" hidden="false" customHeight="false" outlineLevel="0" collapsed="false">
      <c r="A124" s="18" t="str">
        <f aca="false">Analysis!B127</f>
        <v>Dennis Gray</v>
      </c>
      <c r="B124" s="18" t="str">
        <f aca="false">Analysis!A127</f>
        <v>CUST043</v>
      </c>
      <c r="C124" s="21" t="n">
        <f aca="false">SUMIFS('Raw Data'!$N$2:$N$251,'Raw Data'!$C$2:$C$251,B124,'Raw Data'!$K$2:$K$251,$B$3,'Raw Data'!$G$2:$G$251,$B$4,'Raw Data'!$J$2:$J$251,$B$5)</f>
        <v>479.92</v>
      </c>
      <c r="D124" s="17" t="n">
        <f aca="false">RANK(C124,$C$82:$C$131)+COUNTIF($C$82:C124,C124)-1</f>
        <v>48</v>
      </c>
    </row>
    <row r="125" customFormat="false" ht="15" hidden="false" customHeight="false" outlineLevel="0" collapsed="false">
      <c r="A125" s="18" t="str">
        <f aca="false">Analysis!B128</f>
        <v>Cynthia Price</v>
      </c>
      <c r="B125" s="18" t="str">
        <f aca="false">Analysis!A128</f>
        <v>CUST044</v>
      </c>
      <c r="C125" s="21" t="n">
        <f aca="false">SUMIFS('Raw Data'!$N$2:$N$251,'Raw Data'!$C$2:$C$251,B125,'Raw Data'!$K$2:$K$251,$B$3,'Raw Data'!$G$2:$G$251,$B$4,'Raw Data'!$J$2:$J$251,$B$5)</f>
        <v>3769.83</v>
      </c>
      <c r="D125" s="17" t="n">
        <f aca="false">RANK(C125,$C$82:$C$131)+COUNTIF($C$82:C125,C125)-1</f>
        <v>29</v>
      </c>
    </row>
    <row r="126" customFormat="false" ht="15" hidden="false" customHeight="false" outlineLevel="0" collapsed="false">
      <c r="A126" s="18" t="str">
        <f aca="false">Analysis!B129</f>
        <v>Douglas Watson</v>
      </c>
      <c r="B126" s="18" t="str">
        <f aca="false">Analysis!A129</f>
        <v>CUST045</v>
      </c>
      <c r="C126" s="21" t="n">
        <f aca="false">SUMIFS('Raw Data'!$N$2:$N$251,'Raw Data'!$C$2:$C$251,B126,'Raw Data'!$K$2:$K$251,$B$3,'Raw Data'!$G$2:$G$251,$B$4,'Raw Data'!$J$2:$J$251,$B$5)</f>
        <v>4829.89</v>
      </c>
      <c r="D126" s="17" t="n">
        <f aca="false">RANK(C126,$C$82:$C$131)+COUNTIF($C$82:C126,C126)-1</f>
        <v>21</v>
      </c>
    </row>
    <row r="127" customFormat="false" ht="15" hidden="false" customHeight="false" outlineLevel="0" collapsed="false">
      <c r="A127" s="18" t="str">
        <f aca="false">Analysis!B130</f>
        <v>Kathleen Bennett</v>
      </c>
      <c r="B127" s="18" t="str">
        <f aca="false">Analysis!A130</f>
        <v>CUST046</v>
      </c>
      <c r="C127" s="21" t="n">
        <f aca="false">SUMIFS('Raw Data'!$N$2:$N$251,'Raw Data'!$C$2:$C$251,B127,'Raw Data'!$K$2:$K$251,$B$3,'Raw Data'!$G$2:$G$251,$B$4,'Raw Data'!$J$2:$J$251,$B$5)</f>
        <v>4309.81</v>
      </c>
      <c r="D127" s="17" t="n">
        <f aca="false">RANK(C127,$C$82:$C$131)+COUNTIF($C$82:C127,C127)-1</f>
        <v>25</v>
      </c>
    </row>
    <row r="128" customFormat="false" ht="15" hidden="false" customHeight="false" outlineLevel="0" collapsed="false">
      <c r="A128" s="18" t="str">
        <f aca="false">Analysis!B131</f>
        <v>Gerald Murphy</v>
      </c>
      <c r="B128" s="18" t="str">
        <f aca="false">Analysis!A131</f>
        <v>CUST047</v>
      </c>
      <c r="C128" s="21" t="n">
        <f aca="false">SUMIFS('Raw Data'!$N$2:$N$251,'Raw Data'!$C$2:$C$251,B128,'Raw Data'!$K$2:$K$251,$B$3,'Raw Data'!$G$2:$G$251,$B$4,'Raw Data'!$J$2:$J$251,$B$5)</f>
        <v>6379.87</v>
      </c>
      <c r="D128" s="17" t="n">
        <f aca="false">RANK(C128,$C$82:$C$131)+COUNTIF($C$82:C128,C128)-1</f>
        <v>12</v>
      </c>
    </row>
    <row r="129" customFormat="false" ht="15" hidden="false" customHeight="false" outlineLevel="0" collapsed="false">
      <c r="A129" s="18" t="str">
        <f aca="false">Analysis!B132</f>
        <v>Virginia Sanders</v>
      </c>
      <c r="B129" s="18" t="str">
        <f aca="false">Analysis!A132</f>
        <v>CUST048</v>
      </c>
      <c r="C129" s="21" t="n">
        <f aca="false">SUMIFS('Raw Data'!$N$2:$N$251,'Raw Data'!$C$2:$C$251,B129,'Raw Data'!$K$2:$K$251,$B$3,'Raw Data'!$G$2:$G$251,$B$4,'Raw Data'!$J$2:$J$251,$B$5)</f>
        <v>4789.79</v>
      </c>
      <c r="D129" s="17" t="n">
        <f aca="false">RANK(C129,$C$82:$C$131)+COUNTIF($C$82:C129,C129)-1</f>
        <v>22</v>
      </c>
    </row>
    <row r="130" customFormat="false" ht="15" hidden="false" customHeight="false" outlineLevel="0" collapsed="false">
      <c r="A130" s="18" t="str">
        <f aca="false">Analysis!B133</f>
        <v>Raymond Ross</v>
      </c>
      <c r="B130" s="18" t="str">
        <f aca="false">Analysis!A133</f>
        <v>CUST049</v>
      </c>
      <c r="C130" s="21" t="n">
        <f aca="false">SUMIFS('Raw Data'!$N$2:$N$251,'Raw Data'!$C$2:$C$251,B130,'Raw Data'!$K$2:$K$251,$B$3,'Raw Data'!$G$2:$G$251,$B$4,'Raw Data'!$J$2:$J$251,$B$5)</f>
        <v>3669.85</v>
      </c>
      <c r="D130" s="17" t="n">
        <f aca="false">RANK(C130,$C$82:$C$131)+COUNTIF($C$82:C130,C130)-1</f>
        <v>30</v>
      </c>
    </row>
    <row r="131" customFormat="false" ht="15" hidden="false" customHeight="false" outlineLevel="0" collapsed="false">
      <c r="A131" s="18" t="str">
        <f aca="false">Analysis!B134</f>
        <v>Julie Foster</v>
      </c>
      <c r="B131" s="18" t="str">
        <f aca="false">Analysis!A134</f>
        <v>CUST050</v>
      </c>
      <c r="C131" s="21" t="n">
        <f aca="false">SUMIFS('Raw Data'!$N$2:$N$251,'Raw Data'!$C$2:$C$251,B131,'Raw Data'!$K$2:$K$251,$B$3,'Raw Data'!$G$2:$G$251,$B$4,'Raw Data'!$J$2:$J$251,$B$5)</f>
        <v>239.96</v>
      </c>
      <c r="D131" s="17" t="n">
        <f aca="false">RANK(C131,$C$82:$C$131)+COUNTIF($C$82:C131,C131)-1</f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19.7" hidden="false" customHeight="false" outlineLevel="0" collapsed="false">
      <c r="B1" s="48" t="s">
        <v>596</v>
      </c>
    </row>
    <row r="2" customFormat="false" ht="15" hidden="false" customHeight="false" outlineLevel="0" collapsed="false">
      <c r="B2" s="2" t="s">
        <v>597</v>
      </c>
    </row>
    <row r="4" customFormat="false" ht="15" hidden="false" customHeight="false" outlineLevel="0" collapsed="false">
      <c r="B4" s="49" t="s">
        <v>598</v>
      </c>
    </row>
    <row r="5" customFormat="false" ht="48" hidden="false" customHeight="true" outlineLevel="0" collapsed="false">
      <c r="B5" s="50" t="str">
        <f aca="false">"The business earned "&amp;TEXT(Analysis!B39,"$#,##0")&amp;" from "&amp;TEXT(COUNTA('Raw Data'!$A$2:$A$251),"#,##0")&amp;" orders placed by "&amp;COUNTIF(Analysis!E85:E134,"&gt;0")&amp;" customers between "&amp;TEXT(Analysis!B6,"mmm yyyy")&amp;" and "&amp;TEXT(Analysis!B7,"mmm yyyy")&amp;". The average order is worth "&amp;TEXT(Analysis!E180,"$#,##0")&amp;"."</f>
        <v>The business earned $229,192 from 250 orders placed by 50 customers between Apr 2024 and Apr 2025. The average order is worth $917.</v>
      </c>
    </row>
    <row r="7" customFormat="false" ht="15" hidden="false" customHeight="false" outlineLevel="0" collapsed="false">
      <c r="B7" s="49" t="s">
        <v>599</v>
      </c>
    </row>
    <row r="8" customFormat="false" ht="48" hidden="false" customHeight="true" outlineLevel="0" collapsed="false">
      <c r="B8" s="50" t="str">
        <f aca="false">Analysis!B181&amp;" is the strongest region with "&amp;TEXT(MAX(Analysis!D175:D179),"0.0%")&amp;" of total revenue ("&amp;TEXT(MAX(Analysis!C175:C179),"$#,##0")&amp;"). The weakest region is "&amp;Analysis!B182&amp;" with "&amp;TEXT(MIN(Analysis!D175:D179),"0.0%")&amp;" - the best place to look for growth."</f>
        <v>East is the strongest region with 25.9% of total revenue ($59,288). The weakest region is South with 15.9% - the best place to look for growth.</v>
      </c>
    </row>
    <row r="10" customFormat="false" ht="15" hidden="false" customHeight="false" outlineLevel="0" collapsed="false">
      <c r="B10" s="49" t="s">
        <v>600</v>
      </c>
    </row>
    <row r="11" customFormat="false" ht="48" hidden="false" customHeight="true" outlineLevel="0" collapsed="false">
      <c r="B11" s="50" t="str">
        <f aca="false">"Top customer is "&amp;Analysis!B138&amp;" ("&amp;TEXT(Analysis!E138,"0.0%")&amp;" of revenue). The "&amp;Analysis!B143&amp;" High-Value customers (top "&amp;TEXT(Analysis!B80,"0%")&amp;") bring "&amp;TEXT(Analysis!D143,"0%")&amp;" of all revenue, so protecting them matters most."</f>
        <v>Top customer is Mark Carter (6.8% of revenue). The 10 High-Value customers (top 20%) bring 41% of all revenue, so protecting them matters most.</v>
      </c>
    </row>
    <row r="13" customFormat="false" ht="15" hidden="false" customHeight="false" outlineLevel="0" collapsed="false">
      <c r="B13" s="49" t="s">
        <v>601</v>
      </c>
    </row>
    <row r="14" customFormat="false" ht="48" hidden="false" customHeight="true" outlineLevel="0" collapsed="false">
      <c r="B14" s="50" t="str">
        <f aca="false">TEXT(Analysis!D164,"0%")&amp;" of customers bought more than once. The most loyal buyer is "&amp;Analysis!B162&amp;" with "&amp;Analysis!B163&amp;" orders."</f>
        <v>94% of customers bought more than once. The most loyal buyer is Mark Carter with 12 orders.</v>
      </c>
    </row>
    <row r="16" customFormat="false" ht="15" hidden="false" customHeight="false" outlineLevel="0" collapsed="false">
      <c r="B16" s="49" t="s">
        <v>602</v>
      </c>
    </row>
    <row r="17" customFormat="false" ht="48" hidden="false" customHeight="true" outlineLevel="0" collapsed="false">
      <c r="B17" s="50" t="str">
        <f aca="false">"The most frequently bought product is "&amp;Analysis!B159&amp;"; the most units sold is "&amp;Analysis!B160&amp;"; the highest revenue comes from "&amp;Analysis!B161&amp;". Volume and value can be different stories."</f>
        <v>The most frequently bought product is Bookshelf; the most units sold is Bookshelf; the highest revenue comes from Laptop. Volume and value can be different stories.</v>
      </c>
    </row>
    <row r="19" customFormat="false" ht="15" hidden="false" customHeight="false" outlineLevel="0" collapsed="false">
      <c r="B19" s="49" t="s">
        <v>603</v>
      </c>
    </row>
    <row r="20" customFormat="false" ht="48" hidden="false" customHeight="true" outlineLevel="0" collapsed="false">
      <c r="B20" s="50" t="str">
        <f aca="false">Analysis!H61&amp;". The model explains "&amp;TEXT(Analysis!I58,"0%")&amp;" of month-to-month variation (R-squared) and forecasts about "&amp;TEXT(Analysis!I60,"$#,##0")&amp;" for the next month."</f>
        <v>Revenue is trending UP by about $338 every month. The model explains 8% of month-to-month variation (R-squared) and forecasts about $20,330 for the next month.</v>
      </c>
    </row>
    <row r="22" customFormat="false" ht="15" hidden="false" customHeight="false" outlineLevel="0" collapsed="false">
      <c r="B22" s="49" t="s">
        <v>604</v>
      </c>
    </row>
    <row r="23" customFormat="false" ht="48" hidden="false" customHeight="true" outlineLevel="0" collapsed="false">
      <c r="B23" s="50" t="str">
        <f aca="false">"With price "&amp;TEXT(Analysis!B40,"+0%;-0%")&amp;", quantity "&amp;TEXT(Analysis!B41,"+0%;-0%")&amp;" and discount "&amp;TEXT(Analysis!B42,"0%")&amp;", revenue would be "&amp;TEXT(Analysis!B43,"$#,##0")&amp;" ("&amp;TEXT(Analysis!B44,"+$#,##0;-$#,##0")&amp;" vs actual). Best case "&amp;TEXT(Analysis!E50,"$#,##0")&amp;", worst case "&amp;TEXT(Analysis!E52,"$#,##0")&amp;"."</f>
        <v>With price +5%, quantity +10% and discount 2%, revenue would be $259,423 (+$30,230 vs actual). Best case $289,928, worst case $206,846.</v>
      </c>
    </row>
    <row r="25" customFormat="false" ht="15" hidden="false" customHeight="false" outlineLevel="0" collapsed="false">
      <c r="B25" s="49" t="s">
        <v>605</v>
      </c>
    </row>
    <row r="26" customFormat="false" ht="48" hidden="false" customHeight="true" outlineLevel="0" collapsed="false">
      <c r="B26" s="50" t="s">
        <v>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1" t="s">
        <v>607</v>
      </c>
    </row>
    <row r="3" customFormat="false" ht="90" hidden="false" customHeight="true" outlineLevel="0" collapsed="false">
      <c r="A3" s="51" t="s">
        <v>608</v>
      </c>
      <c r="B3" s="50" t="s">
        <v>609</v>
      </c>
    </row>
    <row r="4" customFormat="false" ht="30" hidden="false" customHeight="true" outlineLevel="0" collapsed="false">
      <c r="A4" s="51" t="s">
        <v>610</v>
      </c>
      <c r="B4" s="50" t="s">
        <v>611</v>
      </c>
    </row>
    <row r="5" customFormat="false" ht="30" hidden="false" customHeight="true" outlineLevel="0" collapsed="false">
      <c r="A5" s="51" t="s">
        <v>612</v>
      </c>
      <c r="B5" s="50" t="s">
        <v>613</v>
      </c>
    </row>
    <row r="6" customFormat="false" ht="30" hidden="false" customHeight="true" outlineLevel="0" collapsed="false">
      <c r="A6" s="51" t="s">
        <v>614</v>
      </c>
      <c r="B6" s="50" t="s">
        <v>615</v>
      </c>
    </row>
    <row r="7" customFormat="false" ht="60" hidden="false" customHeight="true" outlineLevel="0" collapsed="false">
      <c r="A7" s="51" t="s">
        <v>616</v>
      </c>
      <c r="B7" s="50" t="s">
        <v>617</v>
      </c>
    </row>
    <row r="8" customFormat="false" ht="45" hidden="false" customHeight="true" outlineLevel="0" collapsed="false">
      <c r="A8" s="51" t="s">
        <v>618</v>
      </c>
      <c r="B8" s="50" t="s">
        <v>619</v>
      </c>
    </row>
    <row r="9" customFormat="false" ht="90" hidden="false" customHeight="true" outlineLevel="0" collapsed="false">
      <c r="A9" s="51" t="s">
        <v>620</v>
      </c>
      <c r="B9" s="50" t="s">
        <v>621</v>
      </c>
    </row>
    <row r="10" customFormat="false" ht="30" hidden="false" customHeight="true" outlineLevel="0" collapsed="false">
      <c r="A10" s="51" t="s">
        <v>622</v>
      </c>
      <c r="B10" s="50" t="s">
        <v>623</v>
      </c>
    </row>
    <row r="11" customFormat="false" ht="30" hidden="false" customHeight="true" outlineLevel="0" collapsed="false">
      <c r="A11" s="51" t="s">
        <v>624</v>
      </c>
      <c r="B11" s="50" t="s">
        <v>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2026-10-12T06:35:43Z</dcterms:created>
  <dc:creator>openpyxl</dc:creator>
  <dc:description/>
  <dc:language>en-US</dc:language>
  <cp:lastModifiedBy/>
  <dcterms:modified xsi:type="dcterms:W3CDTF">2026-10-12T06:35:45Z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